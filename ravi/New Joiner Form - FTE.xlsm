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groupsg001-my.sharepoint.com/personal/sai-kumar_gadiraju_socgen_com/Documents/Documents/NJF &amp; LOA/"/>
    </mc:Choice>
  </mc:AlternateContent>
  <xr:revisionPtr revIDLastSave="15" documentId="8_{27394677-317F-4FC5-AFA6-519D04FF7CC1}" xr6:coauthVersionLast="47" xr6:coauthVersionMax="47" xr10:uidLastSave="{B41639CD-BBD8-4FD6-9176-A77424EA12DD}"/>
  <bookViews>
    <workbookView xWindow="-120" yWindow="-120" windowWidth="38640" windowHeight="21240" tabRatio="916" firstSheet="2" activeTab="2" xr2:uid="{00000000-000D-0000-FFFF-FFFF00000000}"/>
  </bookViews>
  <sheets>
    <sheet name="HR Reports" sheetId="20" state="veryHidden" r:id="rId1"/>
    <sheet name="List" sheetId="4" state="veryHidden" r:id="rId2"/>
    <sheet name="START" sheetId="5" r:id="rId3"/>
    <sheet name="Instructions" sheetId="19" state="veryHidden" r:id="rId4"/>
    <sheet name="Personal Information" sheetId="2" state="veryHidden" r:id="rId5"/>
    <sheet name="Admin Form" sheetId="7" state="veryHidden" r:id="rId6"/>
    <sheet name="JF" sheetId="8" state="veryHidden" r:id="rId7"/>
    <sheet name="Request for membership" sheetId="17" state="veryHidden" r:id="rId8"/>
    <sheet name="Insurance" sheetId="11" state="veryHidden" r:id="rId9"/>
    <sheet name="PF" sheetId="12" state="veryHidden" r:id="rId10"/>
    <sheet name="Gratuity" sheetId="13" state="veryHidden" r:id="rId11"/>
    <sheet name="Form-11" sheetId="24" state="veryHidden" r:id="rId12"/>
    <sheet name="Form-1 (PW)" sheetId="15" state="veryHidden" r:id="rId13"/>
    <sheet name="Form-Q" sheetId="16" state="veryHidden" r:id="rId14"/>
    <sheet name="PF - Declaration Form" sheetId="21" state="veryHidden" r:id="rId15"/>
  </sheets>
  <externalReferences>
    <externalReference r:id="rId16"/>
    <externalReference r:id="rId17"/>
  </externalReferences>
  <definedNames>
    <definedName name="_xlnm._FilterDatabase" localSheetId="4" hidden="1">'Personal Information'!$O$1:$Q$154</definedName>
    <definedName name="Address">PF!$O$19</definedName>
    <definedName name="Adh_no">'Personal Information'!$D$125</definedName>
    <definedName name="Bangalore">List!$H$2:$H$13</definedName>
    <definedName name="Bank_Acc">'Personal Information'!$D$61 &amp; " &amp; " &amp; 'Personal Information'!$D$62</definedName>
    <definedName name="Bank_Acc1">'Personal Information'!$D$61 &amp; "  " &amp; 'Personal Information'!$D$62</definedName>
    <definedName name="Blood_Group">List!$C$2:$C$9</definedName>
    <definedName name="Chennai">List!$I$2:$I$3</definedName>
    <definedName name="Children_Check">'Personal Information'!$N$115</definedName>
    <definedName name="Cur_Add">'Personal Information'!$D$43:$D$51</definedName>
    <definedName name="Dependent">OFFSET([1]List!$F$2,0,0,COUNTA([1]List!$F$2:$F$8)-COUNTBLANK([1]List!$F$2:$F$8),1)</definedName>
    <definedName name="DOB">'Personal Information'!$D$19</definedName>
    <definedName name="DOE">'Personal Information'!$D$56</definedName>
    <definedName name="DOI">'Personal Information'!$D$57</definedName>
    <definedName name="DOJ">'Personal Information'!$D$18</definedName>
    <definedName name="DOJ_In">'Personal Information'!$D$18</definedName>
    <definedName name="Domcile">List!$K$2:$K$12</definedName>
    <definedName name="E_Name">'Personal Information'!$F$14</definedName>
    <definedName name="Email_I">'Personal Information'!$D$51</definedName>
    <definedName name="Empl_No">'Personal Information'!$D$17</definedName>
    <definedName name="EPF">'Personal Information'!$F$119</definedName>
    <definedName name="F_Name">'Personal Information'!$D$10</definedName>
    <definedName name="Four_Wheeler">'Admin Form'!$K$11</definedName>
    <definedName name="Gender">List!$D$2:$D$4</definedName>
    <definedName name="Insurance_D">'HR Reports'!$C$4:$L$10</definedName>
    <definedName name="L_Name" localSheetId="2">'[2]Personal Information Form'!$D$13</definedName>
    <definedName name="L_Name">'Personal Information'!$D$12</definedName>
    <definedName name="Level">List!$B$2:$B$17</definedName>
    <definedName name="Loc_Det">'Personal Information'!$D$23</definedName>
    <definedName name="Location">List!$G$2:$G$3</definedName>
    <definedName name="LWD">'Personal Information'!$F$96</definedName>
    <definedName name="M_Name">'Personal Information'!$D$11</definedName>
    <definedName name="M_Status">'Personal Information'!$D$26</definedName>
    <definedName name="Martial_Status">List!$A$2:$A$6</definedName>
    <definedName name="Misc_Details">'HR Reports'!$B$21:$AK$21</definedName>
    <definedName name="Mobile_N">'Personal Information'!$D$50</definedName>
    <definedName name="N_D">'Personal Information'!$D$38</definedName>
    <definedName name="N_IN_Law">'Personal Information'!$F$144</definedName>
    <definedName name="N_InLaw">'Personal Information'!$F$142</definedName>
    <definedName name="N_S">'Personal Information'!$D$37</definedName>
    <definedName name="P_F_Name">'Personal Information'!$D$9</definedName>
    <definedName name="P_L_Name">'Personal Information'!$D$11</definedName>
    <definedName name="Pan_no">'Personal Information'!$D$64</definedName>
    <definedName name="Pass_No">'Personal Information'!$D$55</definedName>
    <definedName name="Pension">'Personal Information'!$F$121</definedName>
    <definedName name="PER_ADD">'Personal Information'!$H$43:$H$51</definedName>
    <definedName name="PF_N">'Personal Information'!$D$115</definedName>
    <definedName name="_xlnm.Print_Area" localSheetId="12">'Form-1 (PW)'!$A$1:$H$49</definedName>
    <definedName name="_xlnm.Print_Area" localSheetId="13">'Form-Q'!$A$1:$F$49</definedName>
    <definedName name="_xlnm.Print_Area" localSheetId="10">Gratuity!$A$1:$I$56</definedName>
    <definedName name="_xlnm.Print_Area" localSheetId="3">Instructions!$A$1:$N$79</definedName>
    <definedName name="_xlnm.Print_Area" localSheetId="8">Insurance!$A$1:$L$76</definedName>
    <definedName name="_xlnm.Print_Area" localSheetId="4">'Personal Information'!$A$1:$J$152</definedName>
    <definedName name="_xlnm.Print_Area" localSheetId="9">PF!$A$1:$H$70</definedName>
    <definedName name="_xlnm.Print_Area" localSheetId="14">'PF - Declaration Form'!$B$1:$J$62</definedName>
    <definedName name="_xlnm.Print_Titles" localSheetId="4">'Personal Information'!$1:$6</definedName>
    <definedName name="Qualification">List!$E$2:$E$31</definedName>
    <definedName name="Recruit_Details">'HR Reports'!$B$28:$I$28</definedName>
    <definedName name="Relationship" localSheetId="2">[2]List!$D$2:$D$4</definedName>
    <definedName name="Relationship">List!$F$2:$F$7</definedName>
    <definedName name="Sex">'Personal Information'!$D$25</definedName>
    <definedName name="Stat_Details">'HR Reports'!$B$14:$M$14</definedName>
    <definedName name="T_OPT" localSheetId="6">JF!$D$15</definedName>
    <definedName name="T_OPT">'Admin Form'!$D$15</definedName>
    <definedName name="TOE">List!$J$2:$J$7</definedName>
    <definedName name="TOE_PI">'Personal Information'!$D$20</definedName>
    <definedName name="Two_Wheeler">'Admin Form'!$K$13:$K$14</definedName>
    <definedName name="UAN_N">'Personal Information'!$D$117</definedName>
    <definedName name="Validate_Admin">'Admin Form'!$N$15</definedName>
    <definedName name="Validate_Gratuity">Gratuity!$S$20</definedName>
    <definedName name="Validate_Insurance">Insurance!$T$26</definedName>
    <definedName name="Validate_PF">PF!$R$19</definedName>
    <definedName name="Validate_PI">'Personal Information'!$O$154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6" i="7" l="1" a="1"/>
  <c r="D16" i="7" s="1"/>
  <c r="I17" i="24"/>
  <c r="I18" i="24"/>
  <c r="P118" i="2" l="1"/>
  <c r="P117" i="2"/>
  <c r="F7" i="12" l="1"/>
  <c r="C7" i="12"/>
  <c r="K34" i="24" l="1"/>
  <c r="E32" i="16" l="1"/>
  <c r="F58" i="24" l="1"/>
  <c r="I21" i="24"/>
  <c r="I29" i="24" l="1"/>
  <c r="E38" i="24"/>
  <c r="E39" i="24"/>
  <c r="I16" i="24"/>
  <c r="I15" i="24"/>
  <c r="I31" i="24"/>
  <c r="I30" i="24"/>
  <c r="I20" i="24"/>
  <c r="I19" i="24"/>
  <c r="I14" i="24"/>
  <c r="I13" i="24"/>
  <c r="I12" i="24"/>
  <c r="P139" i="2" l="1"/>
  <c r="P138" i="2"/>
  <c r="P137" i="2"/>
  <c r="P136" i="2"/>
  <c r="P19" i="2"/>
  <c r="P113" i="2"/>
  <c r="P77" i="2"/>
  <c r="P70" i="2"/>
  <c r="P75" i="2"/>
  <c r="P68" i="2"/>
  <c r="P89" i="2" l="1"/>
  <c r="P85" i="2"/>
  <c r="P112" i="2"/>
  <c r="P52" i="2"/>
  <c r="P45" i="2"/>
  <c r="P50" i="2"/>
  <c r="P43" i="2"/>
  <c r="H10" i="12"/>
  <c r="P58" i="2"/>
  <c r="P56" i="2"/>
  <c r="P55" i="2"/>
  <c r="P54" i="2"/>
  <c r="P99" i="2"/>
  <c r="P134" i="2"/>
  <c r="P114" i="2"/>
  <c r="P94" i="2"/>
  <c r="B60" i="2"/>
  <c r="P62" i="2"/>
  <c r="F61" i="21"/>
  <c r="F47" i="21"/>
  <c r="I52" i="21" s="1"/>
  <c r="F40" i="21"/>
  <c r="F60" i="21"/>
  <c r="F58" i="21"/>
  <c r="D38" i="21"/>
  <c r="D36" i="21"/>
  <c r="F24" i="21"/>
  <c r="F22" i="21"/>
  <c r="F20" i="21"/>
  <c r="F16" i="21"/>
  <c r="F14" i="21"/>
  <c r="C9" i="20"/>
  <c r="C10" i="20"/>
  <c r="C5" i="20"/>
  <c r="C6" i="20"/>
  <c r="C7" i="20"/>
  <c r="C8" i="20"/>
  <c r="I28" i="20"/>
  <c r="H28" i="20"/>
  <c r="G28" i="20"/>
  <c r="F28" i="20"/>
  <c r="E28" i="20"/>
  <c r="D28" i="20"/>
  <c r="C28" i="20"/>
  <c r="AK21" i="20"/>
  <c r="AJ21" i="20"/>
  <c r="AI21" i="20"/>
  <c r="AH21" i="20"/>
  <c r="AG21" i="20"/>
  <c r="AF21" i="20"/>
  <c r="AD21" i="20"/>
  <c r="AC21" i="20"/>
  <c r="AB21" i="20"/>
  <c r="Z21" i="20"/>
  <c r="Y21" i="20"/>
  <c r="X21" i="20"/>
  <c r="W21" i="20"/>
  <c r="V21" i="20"/>
  <c r="U21" i="20"/>
  <c r="T21" i="20"/>
  <c r="S21" i="20"/>
  <c r="R21" i="20"/>
  <c r="Q21" i="20"/>
  <c r="P21" i="20"/>
  <c r="O21" i="20"/>
  <c r="M21" i="20"/>
  <c r="L21" i="20"/>
  <c r="K21" i="20"/>
  <c r="J21" i="20"/>
  <c r="I21" i="20"/>
  <c r="H21" i="20"/>
  <c r="G21" i="20"/>
  <c r="F21" i="20"/>
  <c r="E21" i="20"/>
  <c r="D21" i="20"/>
  <c r="C21" i="20"/>
  <c r="B21" i="20"/>
  <c r="M14" i="20"/>
  <c r="N21" i="20" s="1"/>
  <c r="K14" i="20"/>
  <c r="J14" i="20"/>
  <c r="I14" i="20"/>
  <c r="H14" i="20"/>
  <c r="G14" i="20"/>
  <c r="F14" i="20"/>
  <c r="D14" i="20"/>
  <c r="E14" i="20" s="1"/>
  <c r="B14" i="20"/>
  <c r="K4" i="20"/>
  <c r="J6" i="20"/>
  <c r="K6" i="20" s="1"/>
  <c r="J7" i="20"/>
  <c r="K7" i="20" s="1"/>
  <c r="J8" i="20"/>
  <c r="K8" i="20" s="1"/>
  <c r="J9" i="20"/>
  <c r="K9" i="20" s="1"/>
  <c r="J10" i="20"/>
  <c r="K10" i="20" s="1"/>
  <c r="J5" i="20"/>
  <c r="K5" i="20" s="1"/>
  <c r="I6" i="20"/>
  <c r="I7" i="20"/>
  <c r="I8" i="20"/>
  <c r="I9" i="20"/>
  <c r="I10" i="20"/>
  <c r="I5" i="20"/>
  <c r="I4" i="20"/>
  <c r="H5" i="20"/>
  <c r="H6" i="20"/>
  <c r="H7" i="20"/>
  <c r="H8" i="20"/>
  <c r="H9" i="20"/>
  <c r="H10" i="20"/>
  <c r="H4" i="20"/>
  <c r="F5" i="20"/>
  <c r="F6" i="20"/>
  <c r="F7" i="20"/>
  <c r="F8" i="20"/>
  <c r="F9" i="20"/>
  <c r="F10" i="20"/>
  <c r="F4" i="20"/>
  <c r="E5" i="20"/>
  <c r="E6" i="20"/>
  <c r="E7" i="20"/>
  <c r="E8" i="20"/>
  <c r="E9" i="20"/>
  <c r="E10" i="20"/>
  <c r="E4" i="20"/>
  <c r="C4" i="20"/>
  <c r="D7" i="20"/>
  <c r="D6" i="20"/>
  <c r="D5" i="20"/>
  <c r="D8" i="20"/>
  <c r="D9" i="20"/>
  <c r="D10" i="20"/>
  <c r="P9" i="19"/>
  <c r="P10" i="19" s="1"/>
  <c r="P12" i="19" s="1"/>
  <c r="T4" i="19"/>
  <c r="T6" i="19" s="1"/>
  <c r="S4" i="19"/>
  <c r="Q4" i="19"/>
  <c r="Q6" i="19" s="1"/>
  <c r="P5" i="19"/>
  <c r="U2" i="19"/>
  <c r="E53" i="21" l="1"/>
  <c r="I51" i="21"/>
  <c r="E54" i="21"/>
  <c r="P4" i="19"/>
  <c r="P6" i="19" s="1"/>
  <c r="P11" i="19"/>
  <c r="T5" i="19"/>
  <c r="U3" i="19"/>
  <c r="U5" i="19" s="1"/>
  <c r="Q5" i="19"/>
  <c r="U4" i="19" l="1"/>
  <c r="U6" i="19" s="1"/>
  <c r="T13" i="13"/>
  <c r="S13" i="13"/>
  <c r="S12" i="13"/>
  <c r="T11" i="13"/>
  <c r="S11" i="13"/>
  <c r="S10" i="13"/>
  <c r="T9" i="13"/>
  <c r="S9" i="13"/>
  <c r="U20" i="13"/>
  <c r="T19" i="12"/>
  <c r="S9" i="12"/>
  <c r="R9" i="12"/>
  <c r="S8" i="12"/>
  <c r="R8" i="12"/>
  <c r="V26" i="11"/>
  <c r="U17" i="11"/>
  <c r="U16" i="11"/>
  <c r="T16" i="11"/>
  <c r="U15" i="11"/>
  <c r="T15" i="11"/>
  <c r="U14" i="11"/>
  <c r="T14" i="11"/>
  <c r="T13" i="11"/>
  <c r="U13" i="11"/>
  <c r="U12" i="11"/>
  <c r="T12" i="11"/>
  <c r="U11" i="11"/>
  <c r="T11" i="11"/>
  <c r="P15" i="7"/>
  <c r="O13" i="7"/>
  <c r="O12" i="7"/>
  <c r="N13" i="7"/>
  <c r="N12" i="7"/>
  <c r="O11" i="7"/>
  <c r="O10" i="7"/>
  <c r="O8" i="7"/>
  <c r="N11" i="7"/>
  <c r="N10" i="7"/>
  <c r="N8" i="7"/>
  <c r="K21" i="7"/>
  <c r="O15" i="7" l="1"/>
  <c r="N15" i="7" s="1"/>
  <c r="T20" i="13"/>
  <c r="S20" i="13" s="1"/>
  <c r="N113" i="2" l="1"/>
  <c r="N112" i="2"/>
  <c r="Q154" i="2"/>
  <c r="E23" i="13"/>
  <c r="N115" i="2" l="1"/>
  <c r="P135" i="2" s="1"/>
  <c r="E31" i="16"/>
  <c r="E30" i="16"/>
  <c r="E29" i="16"/>
  <c r="C40" i="16" s="1"/>
  <c r="E28" i="16"/>
  <c r="E27" i="16"/>
  <c r="E25" i="16"/>
  <c r="E24" i="16"/>
  <c r="E23" i="16"/>
  <c r="E22" i="16"/>
  <c r="E20" i="16"/>
  <c r="E19" i="16"/>
  <c r="E18" i="16"/>
  <c r="E17" i="16"/>
  <c r="B24" i="15"/>
  <c r="B23" i="15"/>
  <c r="B22" i="15"/>
  <c r="B21" i="15"/>
  <c r="B20" i="15"/>
  <c r="B19" i="15"/>
  <c r="D13" i="15"/>
  <c r="D12" i="15"/>
  <c r="D11" i="15"/>
  <c r="D10" i="15"/>
  <c r="D9" i="15"/>
  <c r="D8" i="15"/>
  <c r="D7" i="15"/>
  <c r="D6" i="15"/>
  <c r="B56" i="12"/>
  <c r="B70" i="12" s="1"/>
  <c r="C44" i="13"/>
  <c r="C35" i="13"/>
  <c r="G33" i="13"/>
  <c r="E28" i="13"/>
  <c r="I28" i="13"/>
  <c r="H28" i="13"/>
  <c r="G28" i="13"/>
  <c r="F28" i="13"/>
  <c r="I27" i="13"/>
  <c r="H27" i="13"/>
  <c r="G27" i="13"/>
  <c r="F27" i="13"/>
  <c r="E27" i="13"/>
  <c r="I26" i="13"/>
  <c r="H26" i="13"/>
  <c r="G26" i="13"/>
  <c r="F26" i="13"/>
  <c r="E26" i="13"/>
  <c r="E25" i="13"/>
  <c r="C36" i="13" s="1"/>
  <c r="E24" i="13"/>
  <c r="E22" i="13"/>
  <c r="E21" i="13"/>
  <c r="E20" i="13"/>
  <c r="E14" i="13"/>
  <c r="E15" i="13"/>
  <c r="E13" i="13"/>
  <c r="E12" i="13"/>
  <c r="E11" i="13"/>
  <c r="E10" i="13"/>
  <c r="B15" i="13"/>
  <c r="F15" i="13" s="1"/>
  <c r="B14" i="13"/>
  <c r="B13" i="13"/>
  <c r="F13" i="13" s="1"/>
  <c r="B12" i="13"/>
  <c r="F12" i="13" s="1"/>
  <c r="B11" i="13"/>
  <c r="F11" i="13" s="1"/>
  <c r="B10" i="13"/>
  <c r="G23" i="15"/>
  <c r="G19" i="15"/>
  <c r="A28" i="12"/>
  <c r="A27" i="12"/>
  <c r="A26" i="12"/>
  <c r="A25" i="12"/>
  <c r="S12" i="12" s="1"/>
  <c r="A24" i="12"/>
  <c r="S11" i="12" s="1"/>
  <c r="A23" i="12"/>
  <c r="S10" i="12" s="1"/>
  <c r="B16" i="12"/>
  <c r="B15" i="12"/>
  <c r="B14" i="12"/>
  <c r="B13" i="12"/>
  <c r="F16" i="12"/>
  <c r="F15" i="12"/>
  <c r="F14" i="12"/>
  <c r="F13" i="12"/>
  <c r="E11" i="12"/>
  <c r="E10" i="12"/>
  <c r="E53" i="11"/>
  <c r="J73" i="11"/>
  <c r="E73" i="11"/>
  <c r="J63" i="11"/>
  <c r="E63" i="11"/>
  <c r="J53" i="11"/>
  <c r="J71" i="11"/>
  <c r="J72" i="11" s="1"/>
  <c r="E71" i="11"/>
  <c r="E72" i="11" s="1"/>
  <c r="J61" i="11"/>
  <c r="J62" i="11" s="1"/>
  <c r="E61" i="11"/>
  <c r="E62" i="11" s="1"/>
  <c r="J51" i="11"/>
  <c r="J52" i="11" s="1"/>
  <c r="E51" i="11"/>
  <c r="E52" i="11" s="1"/>
  <c r="J70" i="11"/>
  <c r="E70" i="11"/>
  <c r="J60" i="11"/>
  <c r="E60" i="11"/>
  <c r="E50" i="11"/>
  <c r="J50" i="11"/>
  <c r="J69" i="11"/>
  <c r="U23" i="11" s="1"/>
  <c r="E69" i="11"/>
  <c r="U22" i="11" s="1"/>
  <c r="J59" i="11"/>
  <c r="U21" i="11" s="1"/>
  <c r="E59" i="11"/>
  <c r="U20" i="11" s="1"/>
  <c r="J49" i="11"/>
  <c r="U19" i="11" s="1"/>
  <c r="E49" i="11"/>
  <c r="U18" i="11" s="1"/>
  <c r="E42" i="11"/>
  <c r="E43" i="11" s="1"/>
  <c r="E41" i="11"/>
  <c r="E17" i="11"/>
  <c r="J32" i="11"/>
  <c r="C28" i="17"/>
  <c r="D30" i="8"/>
  <c r="D33" i="7"/>
  <c r="J21" i="11"/>
  <c r="H21" i="11"/>
  <c r="G20" i="11"/>
  <c r="G19" i="11"/>
  <c r="J16" i="11"/>
  <c r="J15" i="11"/>
  <c r="H16" i="11"/>
  <c r="E18" i="11"/>
  <c r="H15" i="11"/>
  <c r="D13" i="7"/>
  <c r="E16" i="11"/>
  <c r="E15" i="11"/>
  <c r="C27" i="17"/>
  <c r="G22" i="15"/>
  <c r="G21" i="15"/>
  <c r="G20" i="15"/>
  <c r="B26" i="8"/>
  <c r="D19" i="8"/>
  <c r="D12" i="8"/>
  <c r="D13" i="8"/>
  <c r="D14" i="8"/>
  <c r="D15" i="8"/>
  <c r="D16" i="8"/>
  <c r="D17" i="8"/>
  <c r="D18" i="8"/>
  <c r="D11" i="8"/>
  <c r="D12" i="7"/>
  <c r="D11" i="7"/>
  <c r="N106" i="2"/>
  <c r="P26" i="2"/>
  <c r="C14" i="13" l="1"/>
  <c r="F14" i="13"/>
  <c r="D10" i="13"/>
  <c r="F10" i="13"/>
  <c r="B47" i="12"/>
  <c r="S15" i="12"/>
  <c r="C28" i="12"/>
  <c r="D47" i="12" s="1"/>
  <c r="G27" i="12"/>
  <c r="F23" i="15" s="1"/>
  <c r="S14" i="12"/>
  <c r="C27" i="12"/>
  <c r="C23" i="15" s="1"/>
  <c r="G26" i="12"/>
  <c r="F22" i="15" s="1"/>
  <c r="S13" i="12"/>
  <c r="C26" i="12"/>
  <c r="C22" i="15" s="1"/>
  <c r="U26" i="11"/>
  <c r="T26" i="11" s="1"/>
  <c r="B45" i="12"/>
  <c r="C25" i="12"/>
  <c r="D45" i="12" s="1"/>
  <c r="B44" i="12"/>
  <c r="C24" i="12"/>
  <c r="D44" i="12" s="1"/>
  <c r="B43" i="12"/>
  <c r="C23" i="12"/>
  <c r="B46" i="12"/>
  <c r="D13" i="13"/>
  <c r="E28" i="12"/>
  <c r="H47" i="12" s="1"/>
  <c r="D11" i="13"/>
  <c r="E24" i="12"/>
  <c r="D20" i="15" s="1"/>
  <c r="C13" i="13"/>
  <c r="D12" i="13"/>
  <c r="D15" i="13"/>
  <c r="E27" i="12"/>
  <c r="D23" i="15" s="1"/>
  <c r="E23" i="12"/>
  <c r="D19" i="15" s="1"/>
  <c r="G23" i="12"/>
  <c r="F19" i="15" s="1"/>
  <c r="C12" i="13"/>
  <c r="F25" i="12"/>
  <c r="G25" i="12"/>
  <c r="F21" i="15" s="1"/>
  <c r="E26" i="12"/>
  <c r="F24" i="12"/>
  <c r="F28" i="12"/>
  <c r="G24" i="12"/>
  <c r="F20" i="15" s="1"/>
  <c r="G28" i="12"/>
  <c r="F24" i="15" s="1"/>
  <c r="C11" i="13"/>
  <c r="C15" i="13"/>
  <c r="D14" i="13"/>
  <c r="E25" i="12"/>
  <c r="D21" i="15" s="1"/>
  <c r="F23" i="12"/>
  <c r="F27" i="12"/>
  <c r="E23" i="15" s="1"/>
  <c r="C10" i="13"/>
  <c r="F26" i="12"/>
  <c r="H17" i="11"/>
  <c r="C55" i="13"/>
  <c r="C45" i="13"/>
  <c r="P116" i="2"/>
  <c r="P133" i="2"/>
  <c r="P92" i="2"/>
  <c r="P91" i="2"/>
  <c r="P90" i="2"/>
  <c r="P88" i="2"/>
  <c r="P87" i="2"/>
  <c r="P86" i="2"/>
  <c r="P83" i="2"/>
  <c r="P84" i="2"/>
  <c r="P81" i="2"/>
  <c r="P124" i="2"/>
  <c r="P16" i="2"/>
  <c r="P132" i="2"/>
  <c r="P131" i="2"/>
  <c r="P129" i="2"/>
  <c r="P128" i="2"/>
  <c r="P123" i="2"/>
  <c r="P111" i="2"/>
  <c r="P110" i="2"/>
  <c r="P108" i="2"/>
  <c r="P107" i="2"/>
  <c r="P105" i="2"/>
  <c r="P104" i="2"/>
  <c r="P115" i="2"/>
  <c r="N107" i="2"/>
  <c r="N108" i="2"/>
  <c r="N109" i="2"/>
  <c r="N110" i="2"/>
  <c r="N111" i="2"/>
  <c r="M107" i="2"/>
  <c r="M108" i="2"/>
  <c r="M109" i="2"/>
  <c r="M110" i="2"/>
  <c r="M111" i="2"/>
  <c r="M106" i="2"/>
  <c r="L106" i="2" s="1"/>
  <c r="P102" i="2"/>
  <c r="P101" i="2"/>
  <c r="P98" i="2"/>
  <c r="P96" i="2"/>
  <c r="P95" i="2"/>
  <c r="P93" i="2"/>
  <c r="P74" i="2"/>
  <c r="P73" i="2"/>
  <c r="P72" i="2"/>
  <c r="P71" i="2"/>
  <c r="P67" i="2"/>
  <c r="P66" i="2"/>
  <c r="P65" i="2"/>
  <c r="P64" i="2"/>
  <c r="P53" i="2"/>
  <c r="P49" i="2"/>
  <c r="P48" i="2"/>
  <c r="P47" i="2"/>
  <c r="P46" i="2"/>
  <c r="P42" i="2"/>
  <c r="P40" i="2"/>
  <c r="P39" i="2"/>
  <c r="P37" i="2"/>
  <c r="P38" i="2"/>
  <c r="P34" i="2"/>
  <c r="P33" i="2"/>
  <c r="P32" i="2"/>
  <c r="P31" i="2"/>
  <c r="P30" i="2"/>
  <c r="P29" i="2"/>
  <c r="P28" i="2"/>
  <c r="P27" i="2"/>
  <c r="P23" i="2"/>
  <c r="P25" i="2"/>
  <c r="O14" i="2"/>
  <c r="O16" i="2"/>
  <c r="O17" i="2"/>
  <c r="O18" i="2"/>
  <c r="O20" i="2"/>
  <c r="O21" i="2"/>
  <c r="O22" i="2"/>
  <c r="O23" i="2"/>
  <c r="O25" i="2"/>
  <c r="O26" i="2"/>
  <c r="O27" i="2"/>
  <c r="O28" i="2"/>
  <c r="O29" i="2"/>
  <c r="O31" i="2"/>
  <c r="O32" i="2"/>
  <c r="O33" i="2"/>
  <c r="O34" i="2"/>
  <c r="P12" i="2"/>
  <c r="O12" i="2"/>
  <c r="O11" i="2"/>
  <c r="P10" i="2"/>
  <c r="O10" i="2"/>
  <c r="P8" i="2"/>
  <c r="O8" i="2"/>
  <c r="D46" i="12" l="1"/>
  <c r="C24" i="15"/>
  <c r="S19" i="12"/>
  <c r="R19" i="12" s="1"/>
  <c r="L107" i="2"/>
  <c r="L108" i="2" s="1"/>
  <c r="L109" i="2" s="1"/>
  <c r="C21" i="15"/>
  <c r="D24" i="15"/>
  <c r="H46" i="12"/>
  <c r="D22" i="15"/>
  <c r="E21" i="15"/>
  <c r="G45" i="12"/>
  <c r="G44" i="12"/>
  <c r="E20" i="15"/>
  <c r="G46" i="12"/>
  <c r="E22" i="15"/>
  <c r="G43" i="12"/>
  <c r="E19" i="15"/>
  <c r="G47" i="12"/>
  <c r="E24" i="15"/>
  <c r="C20" i="15"/>
  <c r="D43" i="12"/>
  <c r="C19" i="15"/>
  <c r="B30" i="2"/>
  <c r="O30" i="2" s="1"/>
  <c r="F14" i="2"/>
  <c r="I9" i="24" l="1"/>
  <c r="F6" i="12"/>
  <c r="C61" i="12" s="1"/>
  <c r="F12" i="21"/>
  <c r="C14" i="20"/>
  <c r="B28" i="20"/>
  <c r="L9" i="20"/>
  <c r="D4" i="20"/>
  <c r="L8" i="20"/>
  <c r="L5" i="20"/>
  <c r="L7" i="20"/>
  <c r="L4" i="20"/>
  <c r="L6" i="20"/>
  <c r="L10" i="20"/>
  <c r="L110" i="2"/>
  <c r="L111" i="2" s="1"/>
  <c r="E15" i="16"/>
  <c r="C6" i="13"/>
  <c r="E19" i="13" s="1"/>
  <c r="E14" i="11"/>
  <c r="C26" i="17"/>
  <c r="D5" i="15"/>
  <c r="E32" i="15"/>
  <c r="C38" i="15" s="1"/>
  <c r="E40" i="11"/>
  <c r="D10" i="8"/>
  <c r="D10" i="7"/>
  <c r="B19" i="7" l="1"/>
  <c r="M128" i="2"/>
  <c r="N128" i="2" s="1"/>
  <c r="M129" i="2"/>
  <c r="N129" i="2" s="1"/>
  <c r="M130" i="2"/>
  <c r="N130" i="2" s="1"/>
  <c r="M133" i="2"/>
  <c r="N133" i="2" s="1"/>
  <c r="M132" i="2"/>
  <c r="N132" i="2" s="1"/>
  <c r="M131" i="2"/>
  <c r="N131" i="2" s="1"/>
  <c r="D132" i="2" l="1"/>
  <c r="D130" i="2"/>
  <c r="H45" i="12" s="1"/>
  <c r="D128" i="2"/>
  <c r="D129" i="2"/>
  <c r="H44" i="12" s="1"/>
  <c r="D131" i="2"/>
  <c r="D133" i="2"/>
  <c r="H43" i="12"/>
  <c r="AE21" i="20"/>
  <c r="P82" i="2"/>
  <c r="AA21" i="20"/>
  <c r="P63" i="2"/>
  <c r="P57" i="2"/>
  <c r="P154" i="2" l="1"/>
  <c r="O15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vk</author>
  </authors>
  <commentList>
    <comment ref="B36" authorId="0" shapeId="0" xr:uid="{00000000-0006-0000-0300-000001000000}">
      <text>
        <r>
          <rPr>
            <b/>
            <sz val="8"/>
            <color indexed="81"/>
            <rFont val="Calibri"/>
            <family val="2"/>
            <scheme val="minor"/>
          </rPr>
          <t xml:space="preserve">Fill up : </t>
        </r>
        <r>
          <rPr>
            <sz val="8"/>
            <color indexed="81"/>
            <rFont val="Calibri"/>
            <family val="2"/>
            <scheme val="minor"/>
          </rPr>
          <t>Navigate to each schedule applicable Fill up data (Refer to sheet specific Help for more details)</t>
        </r>
      </text>
    </comment>
    <comment ref="B37" authorId="0" shapeId="0" xr:uid="{00000000-0006-0000-0300-000002000000}">
      <text>
        <r>
          <rPr>
            <b/>
            <sz val="8"/>
            <color indexed="81"/>
            <rFont val="Calibri"/>
            <family val="2"/>
            <scheme val="minor"/>
          </rPr>
          <t xml:space="preserve">Validate each sheet : </t>
        </r>
        <r>
          <rPr>
            <sz val="8"/>
            <color indexed="81"/>
            <rFont val="Calibri"/>
            <family val="2"/>
            <scheme val="minor"/>
          </rPr>
          <t>Click on the Validate Button on each filled sheet to ensure that the sheet has been properly filled. Also ensure that you have also followed instructions per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blrijm</author>
  </authors>
  <commentList>
    <comment ref="D32" authorId="0" shapeId="0" xr:uid="{00000000-0006-0000-0400-000001000000}">
      <text>
        <r>
          <rPr>
            <sz val="8"/>
            <color rgb="FF000000"/>
            <rFont val="Tahoma"/>
            <family val="2"/>
          </rPr>
          <t xml:space="preserve">"This is a statutory requirement which needs to be collated &amp; shared with Govt Authorities. Information will be kept confidential within HR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blrijm</author>
    <author>hputtara082712</author>
  </authors>
  <commentList>
    <comment ref="E8" authorId="0" shapeId="0" xr:uid="{00000000-0006-0000-0900-000001000000}">
      <text>
        <r>
          <rPr>
            <sz val="8"/>
            <color indexed="81"/>
            <rFont val="Tahoma"/>
            <family val="2"/>
          </rPr>
          <t>Manual Input</t>
        </r>
      </text>
    </comment>
    <comment ref="C21" authorId="1" shapeId="0" xr:uid="{00000000-0006-0000-0900-000002000000}">
      <text>
        <r>
          <rPr>
            <b/>
            <sz val="8"/>
            <color indexed="81"/>
            <rFont val="Tahoma"/>
            <family val="2"/>
          </rPr>
          <t>hputtara082712:</t>
        </r>
        <r>
          <rPr>
            <sz val="8"/>
            <color indexed="81"/>
            <rFont val="Tahoma"/>
            <family val="2"/>
          </rPr>
          <t xml:space="preserve">
Please Refer to </t>
        </r>
        <r>
          <rPr>
            <b/>
            <sz val="8"/>
            <color indexed="81"/>
            <rFont val="Tahoma"/>
            <family val="2"/>
          </rPr>
          <t>"Coloum I "</t>
        </r>
        <r>
          <rPr>
            <sz val="8"/>
            <color indexed="81"/>
            <rFont val="Tahoma"/>
            <family val="2"/>
          </rPr>
          <t>to update the Address of Nominee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Shobith CHANDRASHEKAR (schandra111912)</author>
  </authors>
  <commentList>
    <comment ref="I10" authorId="0" shapeId="0" xr:uid="{199F18EB-D3DB-4690-9764-03BF9C1DD7B6}">
      <text>
        <r>
          <rPr>
            <b/>
            <sz val="9"/>
            <color indexed="81"/>
            <rFont val="Tahoma"/>
            <family val="2"/>
          </rPr>
          <t>Manual Input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<sst xmlns="http://schemas.openxmlformats.org/spreadsheetml/2006/main" count="1231" uniqueCount="800">
  <si>
    <t>Personal Information Form</t>
  </si>
  <si>
    <t>:</t>
  </si>
  <si>
    <t>x</t>
  </si>
  <si>
    <t>Middle Name</t>
  </si>
  <si>
    <t>Field Legends</t>
  </si>
  <si>
    <t>Automated Fields</t>
  </si>
  <si>
    <t>Fields to be Filled</t>
  </si>
  <si>
    <t>Dropdown Fields</t>
  </si>
  <si>
    <t>Date of Birth</t>
  </si>
  <si>
    <t>Gender</t>
  </si>
  <si>
    <t>No of Children</t>
  </si>
  <si>
    <t>Address Details</t>
  </si>
  <si>
    <t>Current Address</t>
  </si>
  <si>
    <t>Permanent  Address</t>
  </si>
  <si>
    <t>Current Address [Cont.]</t>
  </si>
  <si>
    <t>Permanent  Address [Cont.]</t>
  </si>
  <si>
    <t>Educational Qualification - (Highest to Lowest)</t>
  </si>
  <si>
    <t>Qualification</t>
  </si>
  <si>
    <t>Relationship</t>
  </si>
  <si>
    <t>Address [Cont.]</t>
  </si>
  <si>
    <t>Passport Details</t>
  </si>
  <si>
    <t xml:space="preserve">Employee No </t>
  </si>
  <si>
    <t>Level</t>
  </si>
  <si>
    <t>Designation</t>
  </si>
  <si>
    <t>Martial Status</t>
  </si>
  <si>
    <t>Blood Group</t>
  </si>
  <si>
    <t>Unmarried</t>
  </si>
  <si>
    <t>Associate - 9A</t>
  </si>
  <si>
    <t>Male</t>
  </si>
  <si>
    <t>Married</t>
  </si>
  <si>
    <t>Associate - 9B</t>
  </si>
  <si>
    <t>Female</t>
  </si>
  <si>
    <t>Widow</t>
  </si>
  <si>
    <t>Sr. Associate - 8A</t>
  </si>
  <si>
    <t>Widower</t>
  </si>
  <si>
    <t>Sr. Associate - 8B</t>
  </si>
  <si>
    <t>Divorcee</t>
  </si>
  <si>
    <t>Manager - 7A</t>
  </si>
  <si>
    <t>Manager - 7B</t>
  </si>
  <si>
    <t>Sr. Manager - 6A</t>
  </si>
  <si>
    <t>Sr. Manager - 6B</t>
  </si>
  <si>
    <t>AVP - 5A</t>
  </si>
  <si>
    <t>AVP - 5B</t>
  </si>
  <si>
    <t>Employee Name [Expanded Name to be Maintained in Company Records]</t>
  </si>
  <si>
    <t>Details of atleast two people who can be contacted in case of Emergency:</t>
  </si>
  <si>
    <t>Emergency Contact 1</t>
  </si>
  <si>
    <t>Emergency Contact 2</t>
  </si>
  <si>
    <t>Educational Qualification &amp; Experience Details</t>
  </si>
  <si>
    <t>Percentage</t>
  </si>
  <si>
    <t>B.A</t>
  </si>
  <si>
    <t>B.Com</t>
  </si>
  <si>
    <t>B.E/ B.Tech</t>
  </si>
  <si>
    <t>B.Sc</t>
  </si>
  <si>
    <t>B.Ed</t>
  </si>
  <si>
    <t>BBA</t>
  </si>
  <si>
    <t>BBM</t>
  </si>
  <si>
    <t>BCS</t>
  </si>
  <si>
    <t>BCA</t>
  </si>
  <si>
    <t>BHM</t>
  </si>
  <si>
    <t>Diploma</t>
  </si>
  <si>
    <t>MA</t>
  </si>
  <si>
    <t>MBA</t>
  </si>
  <si>
    <t>MCA</t>
  </si>
  <si>
    <t>ME</t>
  </si>
  <si>
    <t>MSc</t>
  </si>
  <si>
    <t>MS</t>
  </si>
  <si>
    <t>MCM</t>
  </si>
  <si>
    <t>Mcom</t>
  </si>
  <si>
    <t>PGDBA</t>
  </si>
  <si>
    <t>PGDBM</t>
  </si>
  <si>
    <t>PGDHRM</t>
  </si>
  <si>
    <t>PGDIM</t>
  </si>
  <si>
    <t>PGDM</t>
  </si>
  <si>
    <t>PGDIT</t>
  </si>
  <si>
    <t xml:space="preserve">12th </t>
  </si>
  <si>
    <t>10th</t>
  </si>
  <si>
    <t>Univ./Board</t>
  </si>
  <si>
    <t>Year of Passing</t>
  </si>
  <si>
    <t>Employer, Location</t>
  </si>
  <si>
    <t>Work Experience: (Reverse Chronological order - Start from the current company)</t>
  </si>
  <si>
    <t>Start Date</t>
  </si>
  <si>
    <t>End date</t>
  </si>
  <si>
    <t>Position/Designation</t>
  </si>
  <si>
    <t>Dependents Data</t>
  </si>
  <si>
    <t>Name of Dependents</t>
  </si>
  <si>
    <t>Relationship with 
Member</t>
  </si>
  <si>
    <t>Father</t>
  </si>
  <si>
    <t>Mother</t>
  </si>
  <si>
    <t>Wife</t>
  </si>
  <si>
    <t>Husband</t>
  </si>
  <si>
    <t>Son</t>
  </si>
  <si>
    <t>Daughter</t>
  </si>
  <si>
    <t>PF &amp; Gratuity Nomination</t>
  </si>
  <si>
    <t>Nomination 
for Gratuity % of Share</t>
  </si>
  <si>
    <t>Coverage for Insurance</t>
  </si>
  <si>
    <t>You must enable macros before using this workbook</t>
  </si>
  <si>
    <t>Please follow the steps as given below:</t>
  </si>
  <si>
    <t>Step 1:  Click on "Options" Button, you will get a Dialog box as give below:</t>
  </si>
  <si>
    <t>Step 2:  Click on "Enable this Content"</t>
  </si>
  <si>
    <t>Location</t>
  </si>
  <si>
    <t>Bangalore</t>
  </si>
  <si>
    <t>Chennai</t>
  </si>
  <si>
    <t>Voyager - 6</t>
  </si>
  <si>
    <t>Voyager - 7</t>
  </si>
  <si>
    <t>Voyager - 8</t>
  </si>
  <si>
    <t>Voyager - 9</t>
  </si>
  <si>
    <t>Voyager - 10</t>
  </si>
  <si>
    <t>Voyager - 11</t>
  </si>
  <si>
    <t>Voyager - 12</t>
  </si>
  <si>
    <t>Voyager - 14</t>
  </si>
  <si>
    <t>Pritech - 3</t>
  </si>
  <si>
    <t>Pritech - 7</t>
  </si>
  <si>
    <t>Pritech - 8</t>
  </si>
  <si>
    <t>A+</t>
  </si>
  <si>
    <t>A-</t>
  </si>
  <si>
    <t>B+</t>
  </si>
  <si>
    <t>B-</t>
  </si>
  <si>
    <t>AB+</t>
  </si>
  <si>
    <t>AB-</t>
  </si>
  <si>
    <t>O+</t>
  </si>
  <si>
    <t>Type of Employment</t>
  </si>
  <si>
    <t>TOE</t>
  </si>
  <si>
    <t>Employee</t>
  </si>
  <si>
    <t>Contractor</t>
  </si>
  <si>
    <t>Expat</t>
  </si>
  <si>
    <t>General Instructions — If Married -&gt; Mandatory to allocate minimum 50% to spouse, balance can be given to anybody in the family.</t>
  </si>
  <si>
    <t>Date of Joining (DD/MMM/YY)</t>
  </si>
  <si>
    <t>VP - 4</t>
  </si>
  <si>
    <t>SVP - 3</t>
  </si>
  <si>
    <t>Director - 2</t>
  </si>
  <si>
    <r>
      <t>First Name</t>
    </r>
    <r>
      <rPr>
        <sz val="11"/>
        <color rgb="FFFF0000"/>
        <rFont val="Calibri"/>
        <family val="2"/>
        <scheme val="minor"/>
      </rPr>
      <t>*</t>
    </r>
  </si>
  <si>
    <r>
      <t>Last Name</t>
    </r>
    <r>
      <rPr>
        <sz val="11"/>
        <color rgb="FFFF0000"/>
        <rFont val="Calibri"/>
        <family val="2"/>
        <scheme val="minor"/>
      </rPr>
      <t>*</t>
    </r>
  </si>
  <si>
    <r>
      <t>Father's Name</t>
    </r>
    <r>
      <rPr>
        <sz val="11"/>
        <color rgb="FFFF0000"/>
        <rFont val="Calibri"/>
        <family val="2"/>
        <scheme val="minor"/>
      </rPr>
      <t>*</t>
    </r>
  </si>
  <si>
    <r>
      <t>Date of Birth</t>
    </r>
    <r>
      <rPr>
        <sz val="11"/>
        <color rgb="FFFF0000"/>
        <rFont val="Calibri"/>
        <family val="2"/>
        <scheme val="minor"/>
      </rPr>
      <t>*</t>
    </r>
  </si>
  <si>
    <r>
      <t>Joining Location</t>
    </r>
    <r>
      <rPr>
        <sz val="11"/>
        <color rgb="FFFF0000"/>
        <rFont val="Calibri"/>
        <family val="2"/>
        <scheme val="minor"/>
      </rPr>
      <t>*</t>
    </r>
  </si>
  <si>
    <r>
      <t>Gender</t>
    </r>
    <r>
      <rPr>
        <sz val="11"/>
        <color rgb="FFFF0000"/>
        <rFont val="Calibri"/>
        <family val="2"/>
        <scheme val="minor"/>
      </rPr>
      <t>*</t>
    </r>
  </si>
  <si>
    <r>
      <t>Marital Status</t>
    </r>
    <r>
      <rPr>
        <sz val="11"/>
        <color rgb="FFFF0000"/>
        <rFont val="Calibri"/>
        <family val="2"/>
        <scheme val="minor"/>
      </rPr>
      <t>*</t>
    </r>
  </si>
  <si>
    <r>
      <t>Blood Group</t>
    </r>
    <r>
      <rPr>
        <sz val="11"/>
        <color rgb="FFFF0000"/>
        <rFont val="Calibri"/>
        <family val="2"/>
        <scheme val="minor"/>
      </rPr>
      <t>*</t>
    </r>
  </si>
  <si>
    <r>
      <t>Nationality</t>
    </r>
    <r>
      <rPr>
        <sz val="11"/>
        <color rgb="FFFF0000"/>
        <rFont val="Calibri"/>
        <family val="2"/>
        <scheme val="minor"/>
      </rPr>
      <t>*</t>
    </r>
  </si>
  <si>
    <r>
      <t>Kannadiga/Non-Kannadiga</t>
    </r>
    <r>
      <rPr>
        <sz val="11"/>
        <color rgb="FFFF0000"/>
        <rFont val="Calibri"/>
        <family val="2"/>
        <scheme val="minor"/>
      </rPr>
      <t>*</t>
    </r>
  </si>
  <si>
    <r>
      <t>Religion</t>
    </r>
    <r>
      <rPr>
        <sz val="11"/>
        <color rgb="FFFF0000"/>
        <rFont val="Calibri"/>
        <family val="2"/>
        <scheme val="minor"/>
      </rPr>
      <t>*</t>
    </r>
  </si>
  <si>
    <r>
      <t>Caste</t>
    </r>
    <r>
      <rPr>
        <sz val="11"/>
        <color rgb="FFFF0000"/>
        <rFont val="Calibri"/>
        <family val="2"/>
        <scheme val="minor"/>
      </rPr>
      <t>*</t>
    </r>
  </si>
  <si>
    <r>
      <t>Are you physically disabled?</t>
    </r>
    <r>
      <rPr>
        <sz val="11"/>
        <color rgb="FFFF0000"/>
        <rFont val="Calibri"/>
        <family val="2"/>
        <scheme val="minor"/>
      </rPr>
      <t>*</t>
    </r>
  </si>
  <si>
    <r>
      <t>Son(s)</t>
    </r>
    <r>
      <rPr>
        <sz val="11"/>
        <color rgb="FFFF0000"/>
        <rFont val="Calibri"/>
        <family val="2"/>
        <scheme val="minor"/>
      </rPr>
      <t>*</t>
    </r>
  </si>
  <si>
    <r>
      <t>Current Address</t>
    </r>
    <r>
      <rPr>
        <sz val="11"/>
        <color rgb="FFFF0000"/>
        <rFont val="Calibri"/>
        <family val="2"/>
        <scheme val="minor"/>
      </rPr>
      <t>*</t>
    </r>
  </si>
  <si>
    <r>
      <t>City</t>
    </r>
    <r>
      <rPr>
        <sz val="11"/>
        <color rgb="FFFF0000"/>
        <rFont val="Calibri"/>
        <family val="2"/>
        <scheme val="minor"/>
      </rPr>
      <t>*</t>
    </r>
  </si>
  <si>
    <r>
      <t>State</t>
    </r>
    <r>
      <rPr>
        <sz val="11"/>
        <color rgb="FFFF0000"/>
        <rFont val="Calibri"/>
        <family val="2"/>
        <scheme val="minor"/>
      </rPr>
      <t>*</t>
    </r>
  </si>
  <si>
    <r>
      <t>Pincode</t>
    </r>
    <r>
      <rPr>
        <sz val="11"/>
        <color rgb="FFFF0000"/>
        <rFont val="Calibri"/>
        <family val="2"/>
        <scheme val="minor"/>
      </rPr>
      <t>*</t>
    </r>
  </si>
  <si>
    <r>
      <t>Mobile No</t>
    </r>
    <r>
      <rPr>
        <sz val="11"/>
        <color rgb="FFFF0000"/>
        <rFont val="Calibri"/>
        <family val="2"/>
        <scheme val="minor"/>
      </rPr>
      <t>*</t>
    </r>
  </si>
  <si>
    <r>
      <t>Email ID</t>
    </r>
    <r>
      <rPr>
        <sz val="11"/>
        <color rgb="FFFF0000"/>
        <rFont val="Calibri"/>
        <family val="2"/>
        <scheme val="minor"/>
      </rPr>
      <t>*</t>
    </r>
  </si>
  <si>
    <r>
      <t>Permanent  Address</t>
    </r>
    <r>
      <rPr>
        <sz val="11"/>
        <color rgb="FFFF0000"/>
        <rFont val="Calibri"/>
        <family val="2"/>
        <scheme val="minor"/>
      </rPr>
      <t>*</t>
    </r>
  </si>
  <si>
    <r>
      <t>Full Name as in Passport</t>
    </r>
    <r>
      <rPr>
        <sz val="11"/>
        <color rgb="FFFF0000"/>
        <rFont val="Calibri"/>
        <family val="2"/>
        <scheme val="minor"/>
      </rPr>
      <t>*</t>
    </r>
  </si>
  <si>
    <r>
      <t>Passport No.</t>
    </r>
    <r>
      <rPr>
        <sz val="11"/>
        <color rgb="FFFF0000"/>
        <rFont val="Calibri"/>
        <family val="2"/>
        <scheme val="minor"/>
      </rPr>
      <t>*</t>
    </r>
  </si>
  <si>
    <r>
      <t>Date of Issue</t>
    </r>
    <r>
      <rPr>
        <sz val="11"/>
        <color rgb="FFFF0000"/>
        <rFont val="Calibri"/>
        <family val="2"/>
        <scheme val="minor"/>
      </rPr>
      <t>*</t>
    </r>
  </si>
  <si>
    <r>
      <t>Date of Expiry</t>
    </r>
    <r>
      <rPr>
        <sz val="11"/>
        <color rgb="FFFF0000"/>
        <rFont val="Calibri"/>
        <family val="2"/>
        <scheme val="minor"/>
      </rPr>
      <t>*</t>
    </r>
  </si>
  <si>
    <r>
      <t>Place of Issue</t>
    </r>
    <r>
      <rPr>
        <sz val="11"/>
        <color rgb="FFFF0000"/>
        <rFont val="Calibri"/>
        <family val="2"/>
        <scheme val="minor"/>
      </rPr>
      <t>*</t>
    </r>
  </si>
  <si>
    <r>
      <t>Income Tax PAN</t>
    </r>
    <r>
      <rPr>
        <sz val="11"/>
        <color rgb="FFFF0000"/>
        <rFont val="Calibri"/>
        <family val="2"/>
        <scheme val="minor"/>
      </rPr>
      <t>*</t>
    </r>
  </si>
  <si>
    <r>
      <t>Name</t>
    </r>
    <r>
      <rPr>
        <sz val="11"/>
        <color rgb="FFFF0000"/>
        <rFont val="Calibri"/>
        <family val="2"/>
        <scheme val="minor"/>
      </rPr>
      <t>*</t>
    </r>
  </si>
  <si>
    <r>
      <t>Address</t>
    </r>
    <r>
      <rPr>
        <sz val="11"/>
        <color rgb="FFFF0000"/>
        <rFont val="Calibri"/>
        <family val="2"/>
        <scheme val="minor"/>
      </rPr>
      <t>*</t>
    </r>
  </si>
  <si>
    <r>
      <t>UAN Number</t>
    </r>
    <r>
      <rPr>
        <sz val="11"/>
        <color rgb="FFFF0000"/>
        <rFont val="Calibri"/>
        <family val="2"/>
        <scheme val="minor"/>
      </rPr>
      <t>*</t>
    </r>
  </si>
  <si>
    <t>0-1 Year</t>
  </si>
  <si>
    <t>1-2 Years</t>
  </si>
  <si>
    <t>2-3 Years</t>
  </si>
  <si>
    <t>3-4 Years</t>
  </si>
  <si>
    <t>4-5 Years</t>
  </si>
  <si>
    <t>5-6 Years</t>
  </si>
  <si>
    <t>6-7 Years</t>
  </si>
  <si>
    <t>7-8 Years</t>
  </si>
  <si>
    <t>8-9 Years</t>
  </si>
  <si>
    <t>9-10 Years</t>
  </si>
  <si>
    <t>More than 10 Years</t>
  </si>
  <si>
    <r>
      <t>If Yes, Please Specify</t>
    </r>
    <r>
      <rPr>
        <sz val="11"/>
        <color rgb="FFFF0000"/>
        <rFont val="Calibri"/>
        <family val="2"/>
        <scheme val="minor"/>
      </rPr>
      <t>*</t>
    </r>
  </si>
  <si>
    <t>PF Number Format</t>
  </si>
  <si>
    <t>Fields Name</t>
  </si>
  <si>
    <t>Validation</t>
  </si>
  <si>
    <t>Mandatory</t>
  </si>
  <si>
    <r>
      <t xml:space="preserve">Employee Name which will be dispalyed in Company Record - as per - </t>
    </r>
    <r>
      <rPr>
        <b/>
        <sz val="11"/>
        <color rgb="FFFF0000"/>
        <rFont val="Calibri"/>
        <family val="2"/>
      </rPr>
      <t>*</t>
    </r>
  </si>
  <si>
    <t>PF Number - PY/KRP/35111/111</t>
  </si>
  <si>
    <t>Son(s)*</t>
  </si>
  <si>
    <t>C.A. - City*</t>
  </si>
  <si>
    <t>C.A. - State*</t>
  </si>
  <si>
    <t>C.A. - Pincode*</t>
  </si>
  <si>
    <t>C.A. - Mobile No*</t>
  </si>
  <si>
    <t>C.A. - Email ID*</t>
  </si>
  <si>
    <t>P.A. - City*</t>
  </si>
  <si>
    <t>P.A. - State*</t>
  </si>
  <si>
    <t>P.A. - Pincode*</t>
  </si>
  <si>
    <t>P.A. - Mobile No*</t>
  </si>
  <si>
    <t>P.A. - Email ID*</t>
  </si>
  <si>
    <t>Full Name as in Passport*</t>
  </si>
  <si>
    <t>Passport No.*</t>
  </si>
  <si>
    <t>Date of Issue*</t>
  </si>
  <si>
    <t>Date of Expiry*</t>
  </si>
  <si>
    <t>Place of Issue*</t>
  </si>
  <si>
    <t>HDFC Bank A/c*</t>
  </si>
  <si>
    <t>IFSC Code*</t>
  </si>
  <si>
    <t>Branch Details, State*</t>
  </si>
  <si>
    <t>Income Tax PAN*</t>
  </si>
  <si>
    <t>EC1  - Name*</t>
  </si>
  <si>
    <t>EC1  - Address*</t>
  </si>
  <si>
    <t>EC1  - City*</t>
  </si>
  <si>
    <t>EC1  - State*</t>
  </si>
  <si>
    <t>EC1  - Pincode*</t>
  </si>
  <si>
    <t>EC1  - Mobile No*</t>
  </si>
  <si>
    <t>EC2  - Address*</t>
  </si>
  <si>
    <t>EC2  - City*</t>
  </si>
  <si>
    <t>EC2  - State*</t>
  </si>
  <si>
    <t>EC2  - Pincode*</t>
  </si>
  <si>
    <t>Education Qualification 2</t>
  </si>
  <si>
    <t>Education Qualification 3</t>
  </si>
  <si>
    <t>Education Qualification 1</t>
  </si>
  <si>
    <t>Education Qualification-Minimum 3</t>
  </si>
  <si>
    <t>Employer, Location - If Campus - NA</t>
  </si>
  <si>
    <t>Dependent - 1 - Name</t>
  </si>
  <si>
    <t>Dependent - 2 - Name</t>
  </si>
  <si>
    <t>Dependent - 1 - Relationship</t>
  </si>
  <si>
    <t>Dependent - 1 - Date of Birth</t>
  </si>
  <si>
    <t>Dependent - 2 - Relationship</t>
  </si>
  <si>
    <t>Dependent - 3 - Relationship</t>
  </si>
  <si>
    <t>Dependent - 2 - Date of Birth</t>
  </si>
  <si>
    <t>Dependent - 3 - Name</t>
  </si>
  <si>
    <t>Dependent - 3 - Date of Birth</t>
  </si>
  <si>
    <t>UAN Number*</t>
  </si>
  <si>
    <t>DON'T DELETE THESE COLUMNS</t>
  </si>
  <si>
    <t>Dependent - 1 - % PF Share</t>
  </si>
  <si>
    <t>Dependent - 1 - % Gratuity Share</t>
  </si>
  <si>
    <t>Dependent - 4 - Name</t>
  </si>
  <si>
    <t>Dependent - 4 - Relationship</t>
  </si>
  <si>
    <t>Dependent - 4 - Date of Birth</t>
  </si>
  <si>
    <t>Dependent - 5 - Name</t>
  </si>
  <si>
    <t>Dependent - 5 - Relationship</t>
  </si>
  <si>
    <t>Dependent - 5 - Date of Birth</t>
  </si>
  <si>
    <t>Dependent - 6 - Name</t>
  </si>
  <si>
    <t>Dependent - 6 - Relationship</t>
  </si>
  <si>
    <t>Dependent - 6 - Date of Birth</t>
  </si>
  <si>
    <t>Dependent - 2 - % PF Share</t>
  </si>
  <si>
    <t>Dependent - 2 - % Gratuity Share</t>
  </si>
  <si>
    <t>Dependent - 3 - % PF Share</t>
  </si>
  <si>
    <t>Dependent - 3 - % Gratuity Share</t>
  </si>
  <si>
    <t>Dependent - 4 - % PF Share</t>
  </si>
  <si>
    <t>Dependent - 4 - % Gratuity Share</t>
  </si>
  <si>
    <t>Education Qualification 1 - University</t>
  </si>
  <si>
    <t>Education Qualification 1 - Year of Pass</t>
  </si>
  <si>
    <t>Education Qualification 1 - Percentage</t>
  </si>
  <si>
    <t>Education Qualification 2 - University</t>
  </si>
  <si>
    <t>Education Qualification 2 - Year of Pass</t>
  </si>
  <si>
    <t>Education Qualification 2 - Percentage</t>
  </si>
  <si>
    <t>Education Qualification 3 - University</t>
  </si>
  <si>
    <t>Education Qualification 3 - Year of Pass</t>
  </si>
  <si>
    <t>Education Qualification 3 - Percentage</t>
  </si>
  <si>
    <t>EC2  - Name* - Should Not be Same as EC1</t>
  </si>
  <si>
    <t>EC2  - Mobile No*  - Should Not be Same as EC1</t>
  </si>
  <si>
    <t>ESI Number, If any</t>
  </si>
  <si>
    <t>Previous Employment PF Number</t>
  </si>
  <si>
    <t>Telephone Number</t>
  </si>
  <si>
    <r>
      <t>Top-Up Facility - Group Mediclaim Insurance [Sum Insured]</t>
    </r>
    <r>
      <rPr>
        <sz val="11"/>
        <color rgb="FFFF0000"/>
        <rFont val="Calibri"/>
        <family val="2"/>
        <scheme val="minor"/>
      </rPr>
      <t>*</t>
    </r>
  </si>
  <si>
    <t>Top-Up Facility - Group Mediclaim Insurance [Sum Insured]*</t>
  </si>
  <si>
    <t>Click Here, if Current Address &amp; Permanent Address are same</t>
  </si>
  <si>
    <t>Unique Check</t>
  </si>
  <si>
    <t>Click Here, to Edit &amp; Clear 
Permanent Address</t>
  </si>
  <si>
    <t>Employee Name (with expanded initials)</t>
  </si>
  <si>
    <t>Project</t>
  </si>
  <si>
    <t>Admin Requirements Form</t>
  </si>
  <si>
    <t>Employee Details</t>
  </si>
  <si>
    <t xml:space="preserve">Vehicle Parking Pass Declaration: </t>
  </si>
  <si>
    <t xml:space="preserve">Vehicle Details: </t>
  </si>
  <si>
    <t>Registration Number</t>
  </si>
  <si>
    <t>Make &amp; Colour</t>
  </si>
  <si>
    <t>Please note:</t>
  </si>
  <si>
    <t>*If you join in the middle of the month then the parking pass will be provided from the next month only.</t>
  </si>
  <si>
    <t>Transportation opted (Mode of Transportation)</t>
  </si>
  <si>
    <t>Signature:</t>
  </si>
  <si>
    <t>Signature</t>
  </si>
  <si>
    <t>Date</t>
  </si>
  <si>
    <t>Validation by HR</t>
  </si>
  <si>
    <t>For admin use only:</t>
  </si>
  <si>
    <t>Description</t>
  </si>
  <si>
    <t>Date of issuance</t>
  </si>
  <si>
    <t>Employee Sign</t>
  </si>
  <si>
    <t>Access Card</t>
  </si>
  <si>
    <t>Parking Pass/Bus pass</t>
  </si>
  <si>
    <t>Sodexho coupons</t>
  </si>
  <si>
    <t>JOINING REPORT FORM</t>
  </si>
  <si>
    <t>Address</t>
  </si>
  <si>
    <t>City</t>
  </si>
  <si>
    <t>State</t>
  </si>
  <si>
    <t>Pincode</t>
  </si>
  <si>
    <t>Mobile No</t>
  </si>
  <si>
    <t>To</t>
  </si>
  <si>
    <t>HR Department</t>
  </si>
  <si>
    <t>Societe Generale Global Solution Centre Pvt. Ltd.</t>
  </si>
  <si>
    <t>Bangalore - 560 066</t>
  </si>
  <si>
    <t>National Insurance (Medi Assit)</t>
  </si>
  <si>
    <t>Membership Enrolment Form</t>
  </si>
  <si>
    <t>General Instructions:</t>
  </si>
  <si>
    <t>Medical Claims will NOT be processed without this form or with an incomplete form.</t>
  </si>
  <si>
    <t>Each, Box, wherever provided, should contain only one character (alphabet/number/punctuation sign, etc.) leaving a blank box after each word.</t>
  </si>
  <si>
    <t>Please check your eligibility with your HR Department before filling up the form</t>
  </si>
  <si>
    <t xml:space="preserve">Name of the Employee/Member: </t>
  </si>
  <si>
    <t>Employee ID:</t>
  </si>
  <si>
    <t>Dept:</t>
  </si>
  <si>
    <t>Location :</t>
  </si>
  <si>
    <t>Designation:</t>
  </si>
  <si>
    <t>Ph No:</t>
  </si>
  <si>
    <t>Email ID:</t>
  </si>
  <si>
    <t>Date of Birth:</t>
  </si>
  <si>
    <t>Age:</t>
  </si>
  <si>
    <t>Blood Group:</t>
  </si>
  <si>
    <t>Identification Marks:</t>
  </si>
  <si>
    <t>Residential Address:</t>
  </si>
  <si>
    <t>City:</t>
  </si>
  <si>
    <t>State:</t>
  </si>
  <si>
    <t>Name of your family Physician</t>
  </si>
  <si>
    <t>E-mail and Phone No</t>
  </si>
  <si>
    <t>Details of any existing Indian Medical Insurance cover:</t>
  </si>
  <si>
    <t>Issued by</t>
  </si>
  <si>
    <t>Expiry Date</t>
  </si>
  <si>
    <t>I hereby declare and confirm that the above information furnished by me is true to the best of my knowledge and belief</t>
  </si>
  <si>
    <t>If, after the insurance is affected, it is found that the statement, answers or particulars are incorrect or untrue in any respect, the company shall have no liability under this Insurance in respect of those proposed for this Insurance.</t>
  </si>
  <si>
    <t>I accept complete responsibility for all the disallowed / non-medical expenses incurred by me and/or by the dependents and also if the hospitalization expenses exceed the Insurance coverage. These expenses can be billed directly to me and Medi Assist will not be liable to pay the same.</t>
  </si>
  <si>
    <t>Signature of the Employee:</t>
  </si>
  <si>
    <t>Date:</t>
  </si>
  <si>
    <t>Name &amp; Signature of Authorized Signatory</t>
  </si>
  <si>
    <t>Member &amp; Dependent  Details</t>
  </si>
  <si>
    <t xml:space="preserve">FORM – 2 (revised) </t>
  </si>
  <si>
    <t>Employees' Provident Fund Organisation</t>
  </si>
  <si>
    <t xml:space="preserve">Nomination And Declaration Form </t>
  </si>
  <si>
    <t>For Unexempted/Exempted Establishments</t>
  </si>
  <si>
    <t xml:space="preserve">Declaration and Nomination Form under the Employees’ Provident Funds and Employees’ Pension Scheme.
(Paragraph 33 and 61 of the Employees’ Provident Fund Scheme, 1952 &amp; Paragraph 18 of the Employees’ Pension Scheme, 1995)
</t>
  </si>
  <si>
    <t>Name (in Block Letters)</t>
  </si>
  <si>
    <t xml:space="preserve">Emp Id </t>
  </si>
  <si>
    <t>Father's/Husband's Name:</t>
  </si>
  <si>
    <t>(in case of married Women)</t>
  </si>
  <si>
    <t>5  Marital Status</t>
  </si>
  <si>
    <t>Sex</t>
  </si>
  <si>
    <t xml:space="preserve">6  Account No </t>
  </si>
  <si>
    <t xml:space="preserve"> PY/KRP/0035048/</t>
  </si>
  <si>
    <t>Permanent Address</t>
  </si>
  <si>
    <t>Temporary Address</t>
  </si>
  <si>
    <t>PART-A (EPF)</t>
  </si>
  <si>
    <t>I hereby nominate the person (s)/cancel the nomination made by me previously and nominate the person(s), mentioned below to receive the amount standing to my credit in the Employees' Provident Fund, in the event of my death:</t>
  </si>
  <si>
    <t>Name of Nominee/ Nominees</t>
  </si>
  <si>
    <t>Address of 
Nominee</t>
  </si>
  <si>
    <t>Nominee’s
Relationship with the Member</t>
  </si>
  <si>
    <t>Date of
Birth</t>
  </si>
  <si>
    <t>Total amount or share of accumulation in Provident Fund to be paid to each nominee</t>
  </si>
  <si>
    <t>If the nominee is a minor, name relationship and address of the guardian who may receive the amount during the minority of nominee</t>
  </si>
  <si>
    <t xml:space="preserve">Please Select which Address has to be Updated for 
Address of Nominee: </t>
  </si>
  <si>
    <t>If Other, Please Enter
the Address of Relevant Nominee</t>
  </si>
  <si>
    <t>1. *Certified that I have no family as defined in para 1(g) of the Employees' Provident Fund Scheme, 1952 and should I acquire a family hereafter the above nomination should be deemed as cancelled.</t>
  </si>
  <si>
    <t>2.  *Certified that my father/mother is/are dependent upon me.</t>
  </si>
  <si>
    <t>*Strike out whichever is not applicable.</t>
  </si>
  <si>
    <t>Signature/or thumb impression of the subscriber</t>
  </si>
  <si>
    <t>FOR OFFICE USE ONLY</t>
  </si>
  <si>
    <t>Dt. of Joining E.P.F</t>
  </si>
  <si>
    <t>ENTRIES VERIFIED</t>
  </si>
  <si>
    <t xml:space="preserve">Past Service </t>
  </si>
  <si>
    <t>Years</t>
  </si>
  <si>
    <t>Date of Joining EPS</t>
  </si>
  <si>
    <t>D.A________ S.S _______ A.A.O</t>
  </si>
  <si>
    <t>PART – B (EPS) Para 18</t>
  </si>
  <si>
    <t>I hereby furnish below particulars of the members of my family who would be eligible to receive widow/widower/children Pension in event of my death.</t>
  </si>
  <si>
    <t>SI. No.</t>
  </si>
  <si>
    <t>Name of the family member</t>
  </si>
  <si>
    <t>Relationship with member</t>
  </si>
  <si>
    <t>**Certified that I have no family, as defined in para 2(vii) of Employees’ Pension Scheme, 1995 and should I acquire a family hereafter I shall furnish particulars thereon in the above form.</t>
  </si>
  <si>
    <t>I hereby nominate the following person for receiving the monthly pension (admissible under para 16 (2) (a) (i) &amp; (ii) the event of my death without leaving any eligible family member for receiving pension.</t>
  </si>
  <si>
    <t>Name &amp; Address of the nominee</t>
  </si>
  <si>
    <t>Certificate by Employer</t>
  </si>
  <si>
    <t xml:space="preserve">Certified that the above declaration and nomination has been signed / thumb impressed before me by </t>
  </si>
  <si>
    <t xml:space="preserve">Shri/Smt./Kum </t>
  </si>
  <si>
    <t xml:space="preserve">employed in my establishment </t>
  </si>
  <si>
    <t>after he/she has read the entries/entries have been read over to him/her by me and got confirmed by him/her.</t>
  </si>
  <si>
    <t>Signature of the Employer or other authorised Officers of the Establishment</t>
  </si>
  <si>
    <r>
      <t>for</t>
    </r>
    <r>
      <rPr>
        <b/>
        <sz val="8"/>
        <rFont val="Arial"/>
        <family val="2"/>
      </rPr>
      <t xml:space="preserve"> Societe Generale Global Solution Centre Pvt Ltd.</t>
    </r>
  </si>
  <si>
    <t>Authorised Signatory</t>
  </si>
  <si>
    <t>Name &amp; Address of the Factory/Establishment or Rubber Stamp thereof.</t>
  </si>
  <si>
    <t xml:space="preserve">
Societe Generale Global Solution Centre Pvt Ltd.
"Voyager” Building, 10th Floor, Ascendas ITPB SEZ,
International Tech Park,
Whitefield Road, 
Bangalore 560 066</t>
  </si>
  <si>
    <t>FORM 'F'</t>
  </si>
  <si>
    <t>[See sub-rule (1) of rule 6]</t>
  </si>
  <si>
    <t>NOMINATION</t>
  </si>
  <si>
    <t>To
Societe Generale Global Solution Center Pvt. Ltd.
10th Floor, "Voyager" Building, 
ITPL, Whitefield Road
Bangalore 560 066, India</t>
  </si>
  <si>
    <t xml:space="preserve">I Shri/Shrimati/Kumari </t>
  </si>
  <si>
    <t>whose particulars are given in the statement below,</t>
  </si>
  <si>
    <t>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nominee(s).
2.  I hereby certify that the person(s) mentioned is a/are member(s) of my family within the meaning of clause (h) of section (2) of the Payment of gratuity Act, 1972.
3.  I hereby declare that I have no family within the meaning of clause (h) of section (2) of the said act.
4.  (a)  My father/mother/parents is/are not dependent on me.
     (b) My husband's father/mother/parents is/are not dependent on my husband.
5.  I have excluded my husband from my family by a notice dated the ________________ to the Controlling Authority in terms of the proviso to clause (h) of section 2 of the said Act.
6.  Nomination made herein invalidates my previous nomination.</t>
  </si>
  <si>
    <t>Nominee(s)</t>
  </si>
  <si>
    <t>Name in full with full address of nominee(s)</t>
  </si>
  <si>
    <t>Relationship with 
the employee</t>
  </si>
  <si>
    <t>Age of Nominee</t>
  </si>
  <si>
    <t>Proportion by which 
the gratuity will be shared</t>
  </si>
  <si>
    <t>So on</t>
  </si>
  <si>
    <t>Statement</t>
  </si>
  <si>
    <t xml:space="preserve">Name of employee in full </t>
  </si>
  <si>
    <t>Religion</t>
  </si>
  <si>
    <t xml:space="preserve">Whether unmarried/married/widow/widower  </t>
  </si>
  <si>
    <t>Department /Branch/Section where employed</t>
  </si>
  <si>
    <t>Post held with Ticket or Serial No., if any.</t>
  </si>
  <si>
    <t>Date of appointment</t>
  </si>
  <si>
    <t>Village:</t>
  </si>
  <si>
    <t>Thana:</t>
  </si>
  <si>
    <t>Sub-division :</t>
  </si>
  <si>
    <t xml:space="preserve">Post office: </t>
  </si>
  <si>
    <t>District:</t>
  </si>
  <si>
    <t xml:space="preserve">Place : </t>
  </si>
  <si>
    <t>Date  :</t>
  </si>
  <si>
    <t>Signature/Thumb-impression of the employee</t>
  </si>
  <si>
    <t>Declaration by witnesses</t>
  </si>
  <si>
    <t>Nomination signed / thumb impressed before me.</t>
  </si>
  <si>
    <t>Name in full and full address of witnesses</t>
  </si>
  <si>
    <t>Signature of witnesses</t>
  </si>
  <si>
    <t>Certificate by the employer</t>
  </si>
  <si>
    <t>Certified that the particulars of the above nomination have been verified and recorded in this establishment.</t>
  </si>
  <si>
    <t>Employer's reference No., if any.</t>
  </si>
  <si>
    <t>for Societe Generale</t>
  </si>
  <si>
    <t>Global Solution Centre Pvt. Ltd.,</t>
  </si>
  <si>
    <t>Name &amp; Address of the establishment or Rubber-stamp thereof</t>
  </si>
  <si>
    <t>Signature of the employer/ officer authorised</t>
  </si>
  <si>
    <t>Acknowledgment by the employee</t>
  </si>
  <si>
    <t>Received the duplicate copy of nomination in Form `F' filed by me and duly certified by the employer.</t>
  </si>
  <si>
    <t xml:space="preserve">Note : Strike out the words/paragraphs not applicable. </t>
  </si>
  <si>
    <t>to</t>
  </si>
  <si>
    <t>FORM-I</t>
  </si>
  <si>
    <t xml:space="preserve">                  NOMINATION AND DECLARATION FORM</t>
  </si>
  <si>
    <t>[See rule 3]</t>
  </si>
  <si>
    <t>Name of person making nomination 
(in block letters)</t>
  </si>
  <si>
    <t>Father's/Husband's Name</t>
  </si>
  <si>
    <t>Marital Status</t>
  </si>
  <si>
    <t xml:space="preserve">Temporary Address </t>
  </si>
  <si>
    <t>I hereby nominate the person(s)/cancel the nomination made by me previously and nominate the person(s) mentioned below to receive any amount due to me from the employer, in the event to my death.</t>
  </si>
  <si>
    <t>Name of the nominee/nominees</t>
  </si>
  <si>
    <t>Nominee's relationship with the member</t>
  </si>
  <si>
    <t>Total amount of share of accumulations in credit to be paid to each nominee</t>
  </si>
  <si>
    <t>If the nominee is minor, name, relationship and address of the guardian who may receive the amount during the minority of nominee.</t>
  </si>
  <si>
    <t>(1)</t>
  </si>
  <si>
    <t>(2)</t>
  </si>
  <si>
    <t>(3)</t>
  </si>
  <si>
    <t>(4)</t>
  </si>
  <si>
    <t>(5)</t>
  </si>
  <si>
    <t>(6)</t>
  </si>
  <si>
    <t>Certified that I have no family and should I acquire a family hereafter, the above nomination shall be deemed as cancelled.</t>
  </si>
  <si>
    <t>*Certified that my father/mother is/are dependent upon me.</t>
  </si>
  <si>
    <t xml:space="preserve">           Signature or the thumb impression of the employed person</t>
  </si>
  <si>
    <t xml:space="preserve">                       CERTIFICATE BY EMPLOYER</t>
  </si>
  <si>
    <t xml:space="preserve">Certified that the above declaration and nomination has been signed/thumb impressed before me by  </t>
  </si>
  <si>
    <t>Shri/Smt./Kum</t>
  </si>
  <si>
    <t xml:space="preserve"> employed in my establishment after he/she has read the</t>
  </si>
  <si>
    <t xml:space="preserve">entry/entries have been read over to him/her by me and got confirmed </t>
  </si>
  <si>
    <t>for Societe Generale Global Solution Centre Pvt Ltd.</t>
  </si>
  <si>
    <t>Societe Generale Global Solution Centre Pvt Ltd.</t>
  </si>
  <si>
    <t>Voyager” Building, 10th Floor, Ascendas ITPB SEZ,</t>
  </si>
  <si>
    <t>International Tech Park, Whitefield Road, Bangalore 560 066</t>
  </si>
  <si>
    <t xml:space="preserve">Statutory requirement </t>
  </si>
  <si>
    <t>FORM `Q'</t>
  </si>
  <si>
    <t>(See Rule 24 (9A)</t>
  </si>
  <si>
    <t>Appointment Order</t>
  </si>
  <si>
    <t>Name and Address of the Establishment</t>
  </si>
  <si>
    <t>Name and Address of the Employer</t>
  </si>
  <si>
    <t>Societe Generale Global Solution Center Pvt. Ltd.
"Voyager" Building, 10th Floor
Ascendas ITPB SEZ
ITPL,Whitefield Road
Bangalore - 560 066, India</t>
  </si>
  <si>
    <t>Name of the Employee</t>
  </si>
  <si>
    <t>His / Her Postal Address</t>
  </si>
  <si>
    <t>His / Her Permanent Address</t>
  </si>
  <si>
    <t>Father's / Husband's Name</t>
  </si>
  <si>
    <t>Date of His / Her entry in to employment</t>
  </si>
  <si>
    <t>Nature of work entrusted to him</t>
  </si>
  <si>
    <t>His / Her serial number in the Register
of Employment (Muster Roll) (Emp id)</t>
  </si>
  <si>
    <t>Rates of wages payable to him / her</t>
  </si>
  <si>
    <t>i)</t>
  </si>
  <si>
    <t>Basic</t>
  </si>
  <si>
    <t>ii)</t>
  </si>
  <si>
    <t>VDA</t>
  </si>
  <si>
    <t>Refer To Appointment Letter Annexure</t>
  </si>
  <si>
    <t>iii)</t>
  </si>
  <si>
    <t>Other Allowances if any</t>
  </si>
  <si>
    <t>Total</t>
  </si>
  <si>
    <t>Place :</t>
  </si>
  <si>
    <t>Acknowledgement by employee
with date and Signature</t>
  </si>
  <si>
    <t>International Tech Park, Whitefield Road
Bangalore 560 066</t>
  </si>
  <si>
    <t>Human Resource Dept.</t>
  </si>
  <si>
    <t xml:space="preserve">Societe Generale Global Solution Centre Private Limited </t>
  </si>
  <si>
    <t>Voyager Building, 10th Floor</t>
  </si>
  <si>
    <t>Ascendas ITPB SEZ, ITPL</t>
  </si>
  <si>
    <t>Whitefield Road</t>
  </si>
  <si>
    <r>
      <t xml:space="preserve">Sub: Membership of </t>
    </r>
    <r>
      <rPr>
        <b/>
        <sz val="11"/>
        <color theme="1"/>
        <rFont val="Calibri"/>
        <family val="2"/>
        <scheme val="minor"/>
      </rPr>
      <t>‘Employee Club’</t>
    </r>
  </si>
  <si>
    <t>Thanking you</t>
  </si>
  <si>
    <t>Name:</t>
  </si>
  <si>
    <t xml:space="preserve">Employee ID:  </t>
  </si>
  <si>
    <r>
      <t xml:space="preserve">I have read and made myself familiar with the objectives for which the </t>
    </r>
    <r>
      <rPr>
        <b/>
        <sz val="11"/>
        <color theme="1"/>
        <rFont val="Calibri"/>
        <family val="2"/>
        <scheme val="minor"/>
      </rPr>
      <t xml:space="preserve">‘Employee Club’ </t>
    </r>
    <r>
      <rPr>
        <sz val="11"/>
        <color theme="1"/>
        <rFont val="Calibri"/>
        <family val="2"/>
        <scheme val="minor"/>
      </rPr>
      <t xml:space="preserve">has been formed at 
</t>
    </r>
    <r>
      <rPr>
        <b/>
        <sz val="11"/>
        <color theme="1"/>
        <rFont val="Calibri"/>
        <family val="2"/>
        <scheme val="minor"/>
      </rPr>
      <t>Societe Generale Global Solution Centre Private Limited</t>
    </r>
    <r>
      <rPr>
        <sz val="11"/>
        <color theme="1"/>
        <rFont val="Calibri"/>
        <family val="2"/>
        <scheme val="minor"/>
      </rPr>
      <t xml:space="preserve">, Bangalore and I wish to become a member of the
</t>
    </r>
    <r>
      <rPr>
        <b/>
        <sz val="11"/>
        <color theme="1"/>
        <rFont val="Calibri"/>
        <family val="2"/>
        <scheme val="minor"/>
      </rPr>
      <t>‘Employee Club’</t>
    </r>
    <r>
      <rPr>
        <sz val="11"/>
        <color theme="1"/>
        <rFont val="Calibri"/>
        <family val="2"/>
        <scheme val="minor"/>
      </rPr>
      <t xml:space="preserve">.
I agree to contribute Rs. 50/- every month towards membership of </t>
    </r>
    <r>
      <rPr>
        <b/>
        <sz val="11"/>
        <color theme="1"/>
        <rFont val="Calibri"/>
        <family val="2"/>
        <scheme val="minor"/>
      </rPr>
      <t>‘Employee Club’</t>
    </r>
    <r>
      <rPr>
        <sz val="11"/>
        <color theme="1"/>
        <rFont val="Calibri"/>
        <family val="2"/>
        <scheme val="minor"/>
      </rPr>
      <t xml:space="preserve"> by way of deduction from my salary until further intimation. I understand and appreciate the fact that an equal contribution would be made every month by the Company to the </t>
    </r>
    <r>
      <rPr>
        <b/>
        <sz val="11"/>
        <color theme="1"/>
        <rFont val="Calibri"/>
        <family val="2"/>
        <scheme val="minor"/>
      </rPr>
      <t>‘Employee Club’</t>
    </r>
    <r>
      <rPr>
        <sz val="11"/>
        <color theme="1"/>
        <rFont val="Calibri"/>
        <family val="2"/>
        <scheme val="minor"/>
      </rPr>
      <t>.</t>
    </r>
  </si>
  <si>
    <t xml:space="preserve">Name of Member: </t>
  </si>
  <si>
    <t xml:space="preserve">Gender: </t>
  </si>
  <si>
    <t xml:space="preserve">Date of Birth: </t>
  </si>
  <si>
    <t xml:space="preserve">Age: </t>
  </si>
  <si>
    <t xml:space="preserve">Health Status: </t>
  </si>
  <si>
    <t>Member Details</t>
  </si>
  <si>
    <t>Dependent 1 Details</t>
  </si>
  <si>
    <t xml:space="preserve">Name of Dependent: </t>
  </si>
  <si>
    <t>Dependent 2 Details</t>
  </si>
  <si>
    <t>Dependent 3 Details</t>
  </si>
  <si>
    <t>Dependent 4 Details</t>
  </si>
  <si>
    <t>Dependent 5 Details</t>
  </si>
  <si>
    <t>Dependent 6 Details</t>
  </si>
  <si>
    <t>Relationship:</t>
  </si>
  <si>
    <t>N_D</t>
  </si>
  <si>
    <t>N_S</t>
  </si>
  <si>
    <t>No of Children is not matching with Dependent Details</t>
  </si>
  <si>
    <t>UAN # - 1000000231537</t>
  </si>
  <si>
    <t>Open Parking</t>
  </si>
  <si>
    <t>Two Wheeler/Four Wheeler</t>
  </si>
  <si>
    <t>Parking</t>
  </si>
  <si>
    <t>Four_Wheeler</t>
  </si>
  <si>
    <t>Covered Parking</t>
  </si>
  <si>
    <t>Two_Wheeler</t>
  </si>
  <si>
    <t>Member - Health Status</t>
  </si>
  <si>
    <t>Dependent 1 - Health Status</t>
  </si>
  <si>
    <t>Dependent 2 - Health Status</t>
  </si>
  <si>
    <t>Dependent 3 - Health Status</t>
  </si>
  <si>
    <t>Dependent 4 - Health Status</t>
  </si>
  <si>
    <t>Dependent 5 - Health Status</t>
  </si>
  <si>
    <t>Dependent 6 - Health Status</t>
  </si>
  <si>
    <t>Nomination 1 - Address of Nominee</t>
  </si>
  <si>
    <t>Nomination 2 - Address of Nominee</t>
  </si>
  <si>
    <t>Nomination 3 - Address of Nominee</t>
  </si>
  <si>
    <t>Nomination 4 - Address of Nominee</t>
  </si>
  <si>
    <t>Nomination 5 - Address of Nominee</t>
  </si>
  <si>
    <t>Nomination 6 - Address of Nominee</t>
  </si>
  <si>
    <t>Beneficiary Nomination Form</t>
  </si>
  <si>
    <t>Directorship Declaration Form</t>
  </si>
  <si>
    <t>Declaration of Personal account</t>
  </si>
  <si>
    <t>Fields Filled</t>
  </si>
  <si>
    <t>Fields to be filled</t>
  </si>
  <si>
    <t>New Hire Form(HR Only)</t>
  </si>
  <si>
    <t>Print Form</t>
  </si>
  <si>
    <t>Reporting Venue</t>
  </si>
  <si>
    <t>Validate</t>
  </si>
  <si>
    <t>Help</t>
  </si>
  <si>
    <t>Previous</t>
  </si>
  <si>
    <t>Next</t>
  </si>
  <si>
    <t>Instructions to Fill Personal Information Form</t>
  </si>
  <si>
    <t>A) 4 Steps to Fill the Personal Information Form</t>
  </si>
  <si>
    <t>1. Enable the Macros</t>
  </si>
  <si>
    <t>2. Fill up the Excel form.</t>
  </si>
  <si>
    <t>3. Validate the each sheets from the form by clicking on the "Validate" button.</t>
  </si>
  <si>
    <t xml:space="preserve">4. Correct the reported errors. </t>
  </si>
  <si>
    <t>B) How to use this Personal Information Form</t>
  </si>
  <si>
    <t>Overview</t>
  </si>
  <si>
    <t>Before you begin</t>
  </si>
  <si>
    <t>Structure of the Personal Information Form</t>
  </si>
  <si>
    <t>Filling up the sections of the form</t>
  </si>
  <si>
    <t>Validating the sheets</t>
  </si>
  <si>
    <t>Printing</t>
  </si>
  <si>
    <t>Fill up applicable Data</t>
  </si>
  <si>
    <t>Validate each sheet</t>
  </si>
  <si>
    <t>Read the general instructions for filling up the form.</t>
  </si>
  <si>
    <t>The Excel Workbook consists of 9 Worksheets.</t>
  </si>
  <si>
    <t>Structure of the utility for Personal Information Form</t>
  </si>
  <si>
    <t>Various sheets and schedules per sheet form part Personal Information Form.</t>
  </si>
  <si>
    <t>The name of each sheet displays in the tab at the bottom of the workbook.</t>
  </si>
  <si>
    <t xml:space="preserve">Each sheet includes a number of distinct, titled sections / schedules. </t>
  </si>
  <si>
    <t xml:space="preserve">Each sheet is identified by the sheet tabs located at the bottom of the Excel window. These tabs are labeled with the schedules </t>
  </si>
  <si>
    <t>of the sheet.</t>
  </si>
  <si>
    <t>Filling up the sections of the form using the Personal Information Form.</t>
  </si>
  <si>
    <t>1.  Every section / schedule is color coded to facilitate the user to enter data.</t>
  </si>
  <si>
    <t>2.  There are following different types of cells in the sheet.</t>
  </si>
  <si>
    <t xml:space="preserve">a)   Data entry cells have a black font and a light green background color as provided for this cell. </t>
  </si>
  <si>
    <t xml:space="preserve">   Certain fields are mandatory under specific conditions. </t>
  </si>
  <si>
    <t>b)  Data entry cells which have a dropdown are highlighted in black font and orange background color as provided for this cell.</t>
  </si>
  <si>
    <t xml:space="preserve">c)  Fields whose values are automatically calculated / filled have a black font and the Olive Green background color </t>
  </si>
  <si>
    <t xml:space="preserve">     as provided for this cell. </t>
  </si>
  <si>
    <t xml:space="preserve">3.  Date: While typing date follow the format of DD/MMM/YY </t>
  </si>
  <si>
    <t xml:space="preserve">4. Please expand all the Initials and abbreviations </t>
  </si>
  <si>
    <t>5. Emp ID and Dept/Project name will be given to you at the time of joining.</t>
  </si>
  <si>
    <t>7. Please put "NA" for irrelevant fields which are not applicable like Spouse name, Children name etc</t>
  </si>
  <si>
    <t xml:space="preserve">8. Please note each tab form requiring your read-through will be delivered to you on the first day of joining </t>
  </si>
  <si>
    <t>for signing in the presence of HR .</t>
  </si>
  <si>
    <t>10. Navigation : Refer to the navigation buttons shown on the left for Next, Previous.</t>
  </si>
  <si>
    <t xml:space="preserve">The user can navigate between the sheets by either clicking on next or previous buttons as required.  </t>
  </si>
  <si>
    <t>11. Moving through the cells : Use Tab Keys to move from one data entry cell to another on the selected sheet.</t>
  </si>
  <si>
    <t>Validating the sheets :</t>
  </si>
  <si>
    <t>Validate the filled up sheet using the "Validate" button in each sheet. Correct errors identified by the validate feature.</t>
  </si>
  <si>
    <t>Printing:</t>
  </si>
  <si>
    <t xml:space="preserve">The print button provides the option to the user to print the sheets after previewing the same. </t>
  </si>
  <si>
    <t xml:space="preserve">On clicking "Print", the user can click on OK for print preview option, preview the pages which will be printed, </t>
  </si>
  <si>
    <t>and Click on the "Print.." button on the menu of the preview pages to print.</t>
  </si>
  <si>
    <t>Voyager Building, 10th Floor, Ascendas ITPB SEZ, ITPL</t>
  </si>
  <si>
    <t>Whitefield Road, Bangalore - 560 066</t>
  </si>
  <si>
    <t xml:space="preserve"> (e.g. Your date of joining can be typed as : 06/DEC/14, then it will automatically change the date format as 6-December-2014)</t>
  </si>
  <si>
    <t>6. Rename file name by Suffix your name Eg: Joining_Form-John SMITH.xls</t>
  </si>
  <si>
    <r>
      <t>9. Prior to your joining date, you will receive email communication from</t>
    </r>
    <r>
      <rPr>
        <u/>
        <sz val="10"/>
        <color theme="1"/>
        <rFont val="Calibri"/>
        <family val="2"/>
      </rPr>
      <t xml:space="preserve"> </t>
    </r>
    <r>
      <rPr>
        <u/>
        <sz val="10"/>
        <color rgb="FF0000FF"/>
        <rFont val="Calibri"/>
        <family val="2"/>
      </rPr>
      <t>_________@socgen.com</t>
    </r>
    <r>
      <rPr>
        <sz val="11"/>
        <color theme="1"/>
        <rFont val="Calibri"/>
        <family val="2"/>
        <scheme val="minor"/>
      </rPr>
      <t>.</t>
    </r>
  </si>
  <si>
    <t>Details</t>
  </si>
  <si>
    <t>Emp No.</t>
  </si>
  <si>
    <t>CardHolder Name</t>
  </si>
  <si>
    <t>DOJ</t>
  </si>
  <si>
    <t xml:space="preserve">Corporate Level (CARE) </t>
  </si>
  <si>
    <t>Sub-Level (CARE)</t>
  </si>
  <si>
    <t>Designtation</t>
  </si>
  <si>
    <t>Date Of Birth</t>
  </si>
  <si>
    <t>Employee Name</t>
  </si>
  <si>
    <t>Self</t>
  </si>
  <si>
    <t>Dependent 1</t>
  </si>
  <si>
    <t>Dependent 2</t>
  </si>
  <si>
    <t>Dependent 3</t>
  </si>
  <si>
    <t>Dependent 4</t>
  </si>
  <si>
    <t>Dependent 5</t>
  </si>
  <si>
    <t>Dependent 6</t>
  </si>
  <si>
    <t>Emp No</t>
  </si>
  <si>
    <t>Name</t>
  </si>
  <si>
    <t>DOJ- Month</t>
  </si>
  <si>
    <t xml:space="preserve">Ethnicity </t>
  </si>
  <si>
    <t>Caste</t>
  </si>
  <si>
    <t>Country</t>
  </si>
  <si>
    <t>Email - ID</t>
  </si>
  <si>
    <t>Education</t>
  </si>
  <si>
    <t>Active/Non Active</t>
  </si>
  <si>
    <t>Nationality</t>
  </si>
  <si>
    <t>Insurance</t>
  </si>
  <si>
    <t>Statutory File-Religion &amp; Caste</t>
  </si>
  <si>
    <t>Personal Information</t>
  </si>
  <si>
    <t>Employment information</t>
  </si>
  <si>
    <t>Personal information</t>
  </si>
  <si>
    <t>Address &amp; contact details</t>
  </si>
  <si>
    <t>Passport Detail</t>
  </si>
  <si>
    <t>PAN details</t>
  </si>
  <si>
    <r>
      <t>First Name</t>
    </r>
    <r>
      <rPr>
        <b/>
        <sz val="11"/>
        <color rgb="FFFF0000"/>
        <rFont val="Calibri"/>
        <family val="2"/>
        <scheme val="minor"/>
      </rPr>
      <t>*</t>
    </r>
  </si>
  <si>
    <r>
      <t>Last Name</t>
    </r>
    <r>
      <rPr>
        <b/>
        <sz val="11"/>
        <color rgb="FFFF0000"/>
        <rFont val="Calibri"/>
        <family val="2"/>
        <scheme val="minor"/>
      </rPr>
      <t>*</t>
    </r>
  </si>
  <si>
    <r>
      <t>Date of Birth</t>
    </r>
    <r>
      <rPr>
        <b/>
        <sz val="11"/>
        <color rgb="FFFF0000"/>
        <rFont val="Calibri"/>
        <family val="2"/>
        <scheme val="minor"/>
      </rPr>
      <t>*</t>
    </r>
  </si>
  <si>
    <r>
      <t>Joining Location</t>
    </r>
    <r>
      <rPr>
        <b/>
        <sz val="11"/>
        <color rgb="FFFF0000"/>
        <rFont val="Calibri"/>
        <family val="2"/>
        <scheme val="minor"/>
      </rPr>
      <t>*</t>
    </r>
  </si>
  <si>
    <r>
      <t>Gender</t>
    </r>
    <r>
      <rPr>
        <b/>
        <sz val="11"/>
        <color rgb="FFFF0000"/>
        <rFont val="Calibri"/>
        <family val="2"/>
        <scheme val="minor"/>
      </rPr>
      <t>*</t>
    </r>
  </si>
  <si>
    <r>
      <t>Marital Status</t>
    </r>
    <r>
      <rPr>
        <b/>
        <sz val="11"/>
        <color rgb="FFFF0000"/>
        <rFont val="Calibri"/>
        <family val="2"/>
        <scheme val="minor"/>
      </rPr>
      <t>*</t>
    </r>
  </si>
  <si>
    <r>
      <t>Blood Group</t>
    </r>
    <r>
      <rPr>
        <b/>
        <sz val="11"/>
        <color rgb="FFFF0000"/>
        <rFont val="Calibri"/>
        <family val="2"/>
        <scheme val="minor"/>
      </rPr>
      <t>*</t>
    </r>
  </si>
  <si>
    <r>
      <t>Nationality</t>
    </r>
    <r>
      <rPr>
        <b/>
        <sz val="11"/>
        <color rgb="FFFF0000"/>
        <rFont val="Calibri"/>
        <family val="2"/>
        <scheme val="minor"/>
      </rPr>
      <t>*</t>
    </r>
  </si>
  <si>
    <r>
      <t>Current Address</t>
    </r>
    <r>
      <rPr>
        <b/>
        <sz val="11"/>
        <color rgb="FFFF0000"/>
        <rFont val="Calibri"/>
        <family val="2"/>
        <scheme val="minor"/>
      </rPr>
      <t>*</t>
    </r>
  </si>
  <si>
    <r>
      <t>City</t>
    </r>
    <r>
      <rPr>
        <b/>
        <sz val="11"/>
        <color rgb="FFFF0000"/>
        <rFont val="Calibri"/>
        <family val="2"/>
        <scheme val="minor"/>
      </rPr>
      <t>*</t>
    </r>
  </si>
  <si>
    <r>
      <t>State</t>
    </r>
    <r>
      <rPr>
        <b/>
        <sz val="11"/>
        <color rgb="FFFF0000"/>
        <rFont val="Calibri"/>
        <family val="2"/>
        <scheme val="minor"/>
      </rPr>
      <t>*</t>
    </r>
  </si>
  <si>
    <r>
      <t>Pincode</t>
    </r>
    <r>
      <rPr>
        <b/>
        <sz val="11"/>
        <color rgb="FFFF0000"/>
        <rFont val="Calibri"/>
        <family val="2"/>
        <scheme val="minor"/>
      </rPr>
      <t>*</t>
    </r>
  </si>
  <si>
    <r>
      <t>Telephone Number</t>
    </r>
    <r>
      <rPr>
        <b/>
        <sz val="11"/>
        <color rgb="FFFF0000"/>
        <rFont val="Calibri"/>
        <family val="2"/>
        <scheme val="minor"/>
      </rPr>
      <t>*</t>
    </r>
  </si>
  <si>
    <r>
      <t>Mobile No</t>
    </r>
    <r>
      <rPr>
        <b/>
        <sz val="11"/>
        <color rgb="FFFF0000"/>
        <rFont val="Calibri"/>
        <family val="2"/>
        <scheme val="minor"/>
      </rPr>
      <t>*</t>
    </r>
  </si>
  <si>
    <r>
      <t>Email ID</t>
    </r>
    <r>
      <rPr>
        <b/>
        <sz val="11"/>
        <color rgb="FFFF0000"/>
        <rFont val="Calibri"/>
        <family val="2"/>
        <scheme val="minor"/>
      </rPr>
      <t>*</t>
    </r>
  </si>
  <si>
    <r>
      <t>Full Name as in Passport</t>
    </r>
    <r>
      <rPr>
        <b/>
        <sz val="11"/>
        <color rgb="FFFF0000"/>
        <rFont val="Calibri"/>
        <family val="2"/>
        <scheme val="minor"/>
      </rPr>
      <t>*</t>
    </r>
  </si>
  <si>
    <r>
      <t>Passport No.</t>
    </r>
    <r>
      <rPr>
        <b/>
        <sz val="11"/>
        <color rgb="FFFF0000"/>
        <rFont val="Calibri"/>
        <family val="2"/>
        <scheme val="minor"/>
      </rPr>
      <t>*</t>
    </r>
  </si>
  <si>
    <r>
      <t>Date of Issue</t>
    </r>
    <r>
      <rPr>
        <b/>
        <sz val="11"/>
        <color rgb="FFFF0000"/>
        <rFont val="Calibri"/>
        <family val="2"/>
        <scheme val="minor"/>
      </rPr>
      <t>*</t>
    </r>
  </si>
  <si>
    <r>
      <t>Date of Expiry</t>
    </r>
    <r>
      <rPr>
        <b/>
        <sz val="11"/>
        <color rgb="FFFF0000"/>
        <rFont val="Calibri"/>
        <family val="2"/>
        <scheme val="minor"/>
      </rPr>
      <t>*</t>
    </r>
  </si>
  <si>
    <r>
      <t>Place of Issue</t>
    </r>
    <r>
      <rPr>
        <b/>
        <sz val="11"/>
        <color rgb="FFFF0000"/>
        <rFont val="Calibri"/>
        <family val="2"/>
        <scheme val="minor"/>
      </rPr>
      <t>*</t>
    </r>
  </si>
  <si>
    <r>
      <t>Income Tax PAN</t>
    </r>
    <r>
      <rPr>
        <b/>
        <sz val="11"/>
        <color rgb="FFFF0000"/>
        <rFont val="Calibri"/>
        <family val="2"/>
        <scheme val="minor"/>
      </rPr>
      <t>*</t>
    </r>
  </si>
  <si>
    <t>Father's Name</t>
  </si>
  <si>
    <t>Joining Location</t>
  </si>
  <si>
    <t>Income Tax PAN</t>
  </si>
  <si>
    <t>NJF Details</t>
  </si>
  <si>
    <t>THE EMPLOYEES’ PROVIDENT FUNDS SCHEME, 1952 (PARAGRAPH-34 &amp; 57)</t>
  </si>
  <si>
    <t>OR</t>
  </si>
  <si>
    <t>&amp;</t>
  </si>
  <si>
    <t>THE EMPLOYEES’ PENSION SCHEME, 1995 (PARAGRAPH-24)</t>
  </si>
  <si>
    <t>DECLARATION BY A PERSON TAKING UP EMPLOYMENT IN AN ESTABLISHMENT ON WHICH EMPLOYEES’ PROVIDENT FUND SCHEME, 1952 AND/OR EMPLOYEES’ PENSION SCHEME, 1995 IS APPLICABLE.</t>
  </si>
  <si>
    <r>
      <rPr>
        <b/>
        <sz val="14"/>
        <rFont val="Tahoma"/>
        <family val="2"/>
      </rPr>
      <t>Declaration Form</t>
    </r>
    <r>
      <rPr>
        <b/>
        <sz val="10"/>
        <rFont val="Tahoma"/>
        <family val="2"/>
      </rPr>
      <t xml:space="preserve">
</t>
    </r>
    <r>
      <rPr>
        <sz val="10"/>
        <rFont val="Tahoma"/>
        <family val="2"/>
      </rPr>
      <t>(To be retained by the Employer for future reference)</t>
    </r>
  </si>
  <si>
    <t>(PLEASE GO THROUGH THE INSTRUCTIONS)</t>
  </si>
  <si>
    <t>1)</t>
  </si>
  <si>
    <t>NAME (TITLE)</t>
  </si>
  <si>
    <t>2)</t>
  </si>
  <si>
    <t>DATE OF BIRTH</t>
  </si>
  <si>
    <t>3)</t>
  </si>
  <si>
    <t>FATHER’S/ HUSBAND’S NAME</t>
  </si>
  <si>
    <t>4)</t>
  </si>
  <si>
    <t>RELATIONSHIP IN RESPECT OF (3) ABOVE</t>
  </si>
  <si>
    <t>5)</t>
  </si>
  <si>
    <t>GENDER</t>
  </si>
  <si>
    <t>6)</t>
  </si>
  <si>
    <t>MOBILE NUMBER (IF ANY)</t>
  </si>
  <si>
    <t>EMAIL ID (IF ANY)</t>
  </si>
  <si>
    <t>7)</t>
  </si>
  <si>
    <t>8)</t>
  </si>
  <si>
    <t>WHETHER EARLIER A MEMBER OF THE EMPLOYEES’ PROVIDENT FUND SCHEME, 1952 ?</t>
  </si>
  <si>
    <t>9)</t>
  </si>
  <si>
    <t>WHETHER EARLIER A MEMBER OF THE EMPLOYEES’ PENSION SCHEME, 1995?</t>
  </si>
  <si>
    <t>IF RESPONSE TO ANY OR BOTH OF (8) &amp; (9) ABOVE IS YES, THEN MANDATORILY FILL UP THE PREVIOUS EMPLOYMENT DETAILS AT (10,11&amp;12):</t>
  </si>
  <si>
    <t>A. PREVIOUS EMPLOYMENT DETAILS</t>
  </si>
  <si>
    <t>10)</t>
  </si>
  <si>
    <t>THE DETAILS OF THE UNIVERSAL ACCOUNT NUMBER (UAN) OR PREVIOUS PF MEMBER ID:</t>
  </si>
  <si>
    <t>UAN</t>
  </si>
  <si>
    <t>PREVIOUS PF MEMBER ID</t>
  </si>
  <si>
    <t>DATE OF EXIT FOR PREVIOUS MEMBER ID (DD/MM/YYYY)</t>
  </si>
  <si>
    <t>11)</t>
  </si>
  <si>
    <t>12)</t>
  </si>
  <si>
    <t>(A) IF SCHEME CERTIFICATE ISSUED FOR PREVIOUS EMPLOYMENT, THEN SCHEME CERTIFICATE NUMBER:</t>
  </si>
  <si>
    <t>(B) IF PENSION PAYMENT ORDER (PPO) ISSUED FOR PREVIOUS EMPLOYMENT, THEN PPO NUMBER:</t>
  </si>
  <si>
    <t>B. PREVIOUS EMPLOYMENT DETAILS</t>
  </si>
  <si>
    <t>13)</t>
  </si>
  <si>
    <t>INTERNATIONAL WORKER</t>
  </si>
  <si>
    <t>IF THE REPLY TO (13) ABOVE IS YES, THEN ENTER THE DETAILS IN 13(A), 13(B) &amp; 13(C):</t>
  </si>
  <si>
    <t>(A) COUNTRY OF ORIGIN - OTHER THAN INDIA (IF YES, PLEASE MENTION NAME OF THE COUNTRY)</t>
  </si>
  <si>
    <t>(B) PASSPORT NUMBER</t>
  </si>
  <si>
    <t>(C) PASSPORT VALID FROM</t>
  </si>
  <si>
    <t>(C) PASSPORT VALID TO</t>
  </si>
  <si>
    <t>14)</t>
  </si>
  <si>
    <t>EDUCATIONAL QUALIFICATION</t>
  </si>
  <si>
    <t>15)</t>
  </si>
  <si>
    <t>MARITAL STATUS</t>
  </si>
  <si>
    <t>16)</t>
  </si>
  <si>
    <t>SPECIALLY ABLED</t>
  </si>
  <si>
    <t>IF YES,</t>
  </si>
  <si>
    <t xml:space="preserve">Top-up is an optional facility over and above the existing Mediclaim coverage available to all employees to cover their dependents. </t>
  </si>
  <si>
    <t>The additional premium will need to be borne by the employee which will be prorated and deducted in the first month payroll</t>
  </si>
  <si>
    <t>The additional premium will need to be borne by the employee which will be prorated and deducted in the first month payroll.</t>
  </si>
  <si>
    <t>O-</t>
  </si>
  <si>
    <t>Passport - Date of Issue &gt; Date of Expiry</t>
  </si>
  <si>
    <r>
      <t>Daughter(s)</t>
    </r>
    <r>
      <rPr>
        <sz val="11"/>
        <color rgb="FFFF0000"/>
        <rFont val="Calibri"/>
        <family val="2"/>
        <scheme val="minor"/>
      </rPr>
      <t>*</t>
    </r>
  </si>
  <si>
    <t>Daughter(s)*</t>
  </si>
  <si>
    <t>Please ensure that total share of PF% and Gratuity% allocated for each is 100% .</t>
  </si>
  <si>
    <t>Intern</t>
  </si>
  <si>
    <t>CEO/MD</t>
  </si>
  <si>
    <t>CA</t>
  </si>
  <si>
    <t>ICWAI</t>
  </si>
  <si>
    <t>Others</t>
  </si>
  <si>
    <t>VIE</t>
  </si>
  <si>
    <t>AADHAR Number</t>
  </si>
  <si>
    <t>Single Parent-In-Law / Both Parents-In-Law*</t>
  </si>
  <si>
    <r>
      <t>Single Parent-In-Law / Both Parents-In-Law</t>
    </r>
    <r>
      <rPr>
        <sz val="11"/>
        <color rgb="FFFF0000"/>
        <rFont val="Calibri"/>
        <family val="2"/>
        <scheme val="minor"/>
      </rPr>
      <t>*</t>
    </r>
  </si>
  <si>
    <t>Name of Parent-In-Law</t>
  </si>
  <si>
    <t>Employee has the option to cover Parents-in-law by paying an additional premium. This is a separate policy apart from the regular employee policy.</t>
  </si>
  <si>
    <r>
      <t>Medical Insurance Coverage of Parents-In-Law [Sum Insured]</t>
    </r>
    <r>
      <rPr>
        <sz val="11"/>
        <color rgb="FFFF0000"/>
        <rFont val="Calibri"/>
        <family val="2"/>
        <scheme val="minor"/>
      </rPr>
      <t>*</t>
    </r>
  </si>
  <si>
    <t>Date of Birth* - Should be Greater than 18 Yrs</t>
  </si>
  <si>
    <t>Medical Insurance Coverage of Parents-In-Law [Sum Insured]*</t>
  </si>
  <si>
    <t>Name of Parent-In-Law 1</t>
  </si>
  <si>
    <t>Name of Parent-In-Law 2</t>
  </si>
  <si>
    <t>Not Availing</t>
  </si>
  <si>
    <t>Transgender</t>
  </si>
  <si>
    <t>Signature of Employer with Seal of Establishment</t>
  </si>
  <si>
    <t xml:space="preserve">              As the DSC of establishment are not registered with the EPFO,the member has been informed to file physical claim(Form-
              13) for transfer of funds from his previous establishment.</t>
  </si>
  <si>
    <t xml:space="preserve">              The KYC details of the above member in the UAN database have been approved with Digital Signature Certificate and 
              transfer request has been generated on portal.</t>
  </si>
  <si>
    <r>
      <t xml:space="preserve">                       •      </t>
    </r>
    <r>
      <rPr>
        <b/>
        <sz val="11"/>
        <color theme="1"/>
        <rFont val="Calibri"/>
        <family val="2"/>
        <scheme val="minor"/>
      </rPr>
      <t>Please Tick the Appropriate Option:-</t>
    </r>
  </si>
  <si>
    <t xml:space="preserve">                       •     The above PF Account number/UAN of the member as mentioned in (A) above has been tagged with his/her UAN/Previous 
                               Member ID as declared by member.</t>
  </si>
  <si>
    <t xml:space="preserve">      C.       In case the person was earlier a member of EPF Scheme,1952 and EPS,1995:</t>
  </si>
  <si>
    <t xml:space="preserve">            Have been uploaded and approved with DSC</t>
  </si>
  <si>
    <t xml:space="preserve">            Have been uploaded but not approved</t>
  </si>
  <si>
    <t xml:space="preserve">            Have not been uploaded</t>
  </si>
  <si>
    <t xml:space="preserve">          The KYC details of the above member in the UAN database</t>
  </si>
  <si>
    <r>
      <t xml:space="preserve">                      •  </t>
    </r>
    <r>
      <rPr>
        <b/>
        <sz val="11"/>
        <color theme="1"/>
        <rFont val="Calibri"/>
        <family val="2"/>
        <scheme val="minor"/>
      </rPr>
      <t>Please Tick the Appropriate Option:</t>
    </r>
  </si>
  <si>
    <r>
      <t xml:space="preserve">                    •  </t>
    </r>
    <r>
      <rPr>
        <b/>
        <sz val="11"/>
        <color theme="1"/>
        <rFont val="Calibri"/>
        <family val="2"/>
        <scheme val="minor"/>
      </rPr>
      <t>(Post allotment of UAN)</t>
    </r>
    <r>
      <rPr>
        <sz val="11"/>
        <color theme="1"/>
        <rFont val="Calibri"/>
        <family val="2"/>
        <scheme val="minor"/>
      </rPr>
      <t xml:space="preserve"> The UAN allotted for the member is …………………….</t>
    </r>
  </si>
  <si>
    <t xml:space="preserve">     B.          In case the person was earlier not a member of EPF Scheme, 1952 and EPS, 1995:</t>
  </si>
  <si>
    <t xml:space="preserve">     A.         The member Mr./Ms./Mrs.  ………………………………………………… has joined on …………………………………. and has been allotted PF Number
                   ……………………………………………………..</t>
  </si>
  <si>
    <r>
      <rPr>
        <b/>
        <u/>
        <sz val="14"/>
        <color theme="1"/>
        <rFont val="Calibri"/>
        <family val="2"/>
        <scheme val="minor"/>
      </rPr>
      <t>D</t>
    </r>
    <r>
      <rPr>
        <b/>
        <u/>
        <sz val="11"/>
        <color theme="1"/>
        <rFont val="Calibri"/>
        <family val="2"/>
        <scheme val="minor"/>
      </rPr>
      <t>ECLARATION BY PRESENT EMPLOYER</t>
    </r>
  </si>
  <si>
    <t>Signature of the Member</t>
  </si>
  <si>
    <t>Place:</t>
  </si>
  <si>
    <t>4) In Case of changes in the above details, the same will be intimated to employer at the earliest.</t>
  </si>
  <si>
    <t>3) Kindly transfer the funds and service details,if applicable,from the previous PF account as declared above to the present P.F. Account.
(The transfer would be possible only if the identified KYC detail approved by the previous employer has been verified by present employer
using his Digital Signature Certificate)</t>
  </si>
  <si>
    <t>1) Certified that the particulars are true to the best of my knowledge.</t>
  </si>
  <si>
    <r>
      <rPr>
        <b/>
        <u/>
        <sz val="15"/>
        <color theme="1"/>
        <rFont val="Calibri"/>
        <family val="2"/>
        <scheme val="minor"/>
      </rPr>
      <t>U</t>
    </r>
    <r>
      <rPr>
        <b/>
        <u/>
        <sz val="12"/>
        <color theme="1"/>
        <rFont val="Calibri"/>
        <family val="2"/>
        <scheme val="minor"/>
      </rPr>
      <t>NDERTAKING</t>
    </r>
  </si>
  <si>
    <t>c) Permanent Account Number(PAN), if available</t>
  </si>
  <si>
    <t>b) AADHAR Number</t>
  </si>
  <si>
    <t>a) Bank Account No. &amp; IFS Code</t>
  </si>
  <si>
    <r>
      <rPr>
        <b/>
        <sz val="11"/>
        <color theme="1"/>
        <rFont val="Calibri"/>
        <family val="2"/>
        <scheme val="minor"/>
      </rPr>
      <t>KYC Details</t>
    </r>
    <r>
      <rPr>
        <sz val="11"/>
        <color theme="1"/>
        <rFont val="Calibri"/>
        <family val="2"/>
        <scheme val="minor"/>
      </rPr>
      <t>: (attach self attested copies of following KYCs)</t>
    </r>
  </si>
  <si>
    <r>
      <t xml:space="preserve">d) Validity of passport [(DD/MM/YYYY) </t>
    </r>
    <r>
      <rPr>
        <b/>
        <sz val="11"/>
        <color theme="1"/>
        <rFont val="Calibri"/>
        <family val="2"/>
        <scheme val="minor"/>
      </rPr>
      <t xml:space="preserve">to </t>
    </r>
    <r>
      <rPr>
        <sz val="11"/>
        <color theme="1"/>
        <rFont val="Calibri"/>
        <family val="2"/>
        <scheme val="minor"/>
      </rPr>
      <t>(DD/MM/YYYY)]</t>
    </r>
  </si>
  <si>
    <t>c) Passport No.</t>
  </si>
  <si>
    <t>b) If yes, state country of origin (India/Name of other country)</t>
  </si>
  <si>
    <t>Yes/No</t>
  </si>
  <si>
    <t>a) International Worker:</t>
  </si>
  <si>
    <t>e) Pension Payment Order(PPO) No. (if issued)</t>
  </si>
  <si>
    <t>d) Scheme Certificate No. (if issued)</t>
  </si>
  <si>
    <t>c) Date of exit from previous employment: (DD/MM/YYYY)</t>
  </si>
  <si>
    <t>b) Previous PF Account Number:</t>
  </si>
  <si>
    <r>
      <rPr>
        <b/>
        <sz val="11"/>
        <color theme="1"/>
        <rFont val="Calibri"/>
        <family val="2"/>
        <scheme val="minor"/>
      </rPr>
      <t xml:space="preserve">Previous Employment details: [if Yes to 7 AND / OR 8 above]
</t>
    </r>
    <r>
      <rPr>
        <sz val="11"/>
        <color theme="1"/>
        <rFont val="Calibri"/>
        <family val="2"/>
        <scheme val="minor"/>
      </rPr>
      <t>a) Universal Account Number:</t>
    </r>
  </si>
  <si>
    <t>Whether earlier a member of Employees' Pension Scheme, 1995</t>
  </si>
  <si>
    <t>Whether earlier a member of Employees' Provident Fund Scheme, 1952</t>
  </si>
  <si>
    <t>(a)  Email ID:
(b)  Mobile No:</t>
  </si>
  <si>
    <t>Marital Status: (Married/Unmarried/Widow/Widower/Divorcee)</t>
  </si>
  <si>
    <t>Gender: (Male/Female/Transgender)</t>
  </si>
  <si>
    <r>
      <t xml:space="preserve">Date Of Birth: </t>
    </r>
    <r>
      <rPr>
        <b/>
        <sz val="11"/>
        <color theme="1"/>
        <rFont val="Calibri"/>
        <family val="2"/>
        <scheme val="minor"/>
      </rPr>
      <t>(DD / MM / YYYY)</t>
    </r>
  </si>
  <si>
    <t>Father's Name          Spouse's Name
 (Please tick whichever is applicable)</t>
  </si>
  <si>
    <t>Name of the member</t>
  </si>
  <si>
    <t>(Declaration by a person taking up employment in any establishment on which EPF Scheme,1952 and/or EPS,1995 is applicable)</t>
  </si>
  <si>
    <t>Employees' Provident Fund Scheme, 1952 (Paragraph 34 &amp;57) &amp; 
Employees' Pension Scheme, 1995 (Paragraph 24)</t>
  </si>
  <si>
    <t xml:space="preserve">                EMPLOYEES' PROVIDENT FUND ORGANISATION</t>
  </si>
  <si>
    <r>
      <t xml:space="preserve">            (</t>
    </r>
    <r>
      <rPr>
        <i/>
        <sz val="11"/>
        <color theme="1"/>
        <rFont val="Calibri"/>
        <family val="2"/>
        <scheme val="minor"/>
      </rPr>
      <t>To be retained by the employer for future reference)</t>
    </r>
  </si>
  <si>
    <t xml:space="preserve">                                New Form No:-11-Declaration Form</t>
  </si>
  <si>
    <t>2) I authorize EPFO to use my Aadhar for the verification/authentication/eKYC purpose for the service delivery.</t>
  </si>
  <si>
    <t>Victor-2</t>
  </si>
  <si>
    <t>DLF-10</t>
  </si>
  <si>
    <t>TRIL-2</t>
  </si>
  <si>
    <r>
      <t>AADHAR Number</t>
    </r>
    <r>
      <rPr>
        <sz val="11"/>
        <color rgb="FFFF0000"/>
        <rFont val="Calibri"/>
        <family val="2"/>
        <scheme val="minor"/>
      </rPr>
      <t>*</t>
    </r>
  </si>
  <si>
    <r>
      <t>Name as per AADHAR</t>
    </r>
    <r>
      <rPr>
        <sz val="11"/>
        <color rgb="FFFF0000"/>
        <rFont val="Calibri"/>
        <family val="2"/>
        <scheme val="minor"/>
      </rPr>
      <t>*</t>
    </r>
  </si>
  <si>
    <t>Short Term Assignment</t>
  </si>
  <si>
    <t>Domicile</t>
  </si>
  <si>
    <t>Permenant</t>
  </si>
  <si>
    <t>Passport</t>
  </si>
  <si>
    <t>IFSC Code</t>
  </si>
  <si>
    <t>Branch Details, State</t>
  </si>
  <si>
    <t>Fixed-term Contractual Employee</t>
  </si>
  <si>
    <t>Director-2</t>
  </si>
  <si>
    <t>VP-4</t>
  </si>
  <si>
    <t>CL5</t>
  </si>
  <si>
    <t>CL6</t>
  </si>
  <si>
    <t>CL7</t>
  </si>
  <si>
    <t>CL8</t>
  </si>
  <si>
    <t>CL9</t>
  </si>
  <si>
    <t>Bangalore - 560066</t>
  </si>
  <si>
    <t>Earlier Member of PF</t>
  </si>
  <si>
    <t>Earlier Member of Pension Scheme</t>
  </si>
  <si>
    <t>Yes</t>
  </si>
  <si>
    <t>No</t>
  </si>
  <si>
    <t>xxx</t>
  </si>
  <si>
    <t/>
  </si>
  <si>
    <t>NA</t>
  </si>
  <si>
    <t>HDFC/AXIS/ICICI Bank A/c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</si>
</sst>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409]d\-mmmm\-yyyy;@"/>
    <numFmt numFmtId="165" formatCode="**\-***-0000000\-000\-0000000"/>
    <numFmt numFmtId="166" formatCode="dd\-mmm\-yyyy"/>
    <numFmt numFmtId="167" formatCode="[$-409]d\-mmm\-yy;@"/>
    <numFmt numFmtId="168" formatCode="0.00&quot;%&quot;"/>
    <numFmt numFmtId="169" formatCode="0.0&quot;%&quot;"/>
    <numFmt numFmtId="170" formatCode="dd\-mmm\-yyyy;@"/>
    <numFmt numFmtId="171" formatCode="d\-mmm\-yyyy"/>
    <numFmt numFmtId="172" formatCode="0&quot;%&quot;"/>
    <numFmt numFmtId="173" formatCode="[$-409]d\-mmm\-yyyy;@"/>
    <numFmt numFmtId="174" formatCode="0.0%"/>
  </numFmts>
  <fonts count="103" x14ac:knownFonts="1">
    <font>
      <sz val="11"/>
      <color theme="1"/>
      <name val="Calibri"/>
      <family val="2"/>
      <scheme val="minor"/>
    </font>
    <font>
      <b/>
      <sz val="10"/>
      <color theme="1"/>
      <name val="Calibri"/>
      <family val="2"/>
    </font>
    <font>
      <u/>
      <sz val="10"/>
      <color theme="10"/>
      <name val="Calibri"/>
      <family val="2"/>
    </font>
    <font>
      <sz val="10"/>
      <name val="Calibri"/>
      <family val="2"/>
      <scheme val="minor"/>
    </font>
    <font>
      <sz val="10"/>
      <color theme="1"/>
      <name val="Calibri"/>
      <family val="2"/>
      <scheme val="minor"/>
    </font>
    <font>
      <sz val="11"/>
      <name val="Calibri"/>
      <family val="2"/>
      <scheme val="minor"/>
    </font>
    <font>
      <b/>
      <sz val="18"/>
      <color theme="1"/>
      <name val="Calibri"/>
      <family val="2"/>
    </font>
    <font>
      <b/>
      <sz val="11"/>
      <color theme="1"/>
      <name val="Calibri"/>
      <family val="2"/>
    </font>
    <font>
      <sz val="11"/>
      <color theme="1"/>
      <name val="Calibri"/>
      <family val="2"/>
    </font>
    <font>
      <b/>
      <sz val="10"/>
      <name val="Calibri"/>
      <family val="2"/>
      <scheme val="minor"/>
    </font>
    <font>
      <sz val="8"/>
      <color indexed="81"/>
      <name val="Tahoma"/>
      <family val="2"/>
    </font>
    <font>
      <sz val="11"/>
      <name val="Calibri"/>
      <family val="2"/>
    </font>
    <font>
      <u/>
      <sz val="11"/>
      <color theme="10"/>
      <name val="Calibri"/>
      <family val="2"/>
    </font>
    <font>
      <sz val="11"/>
      <color theme="1"/>
      <name val="Calibri"/>
      <family val="2"/>
      <scheme val="minor"/>
    </font>
    <font>
      <sz val="10"/>
      <color theme="1"/>
      <name val="Arial"/>
      <family val="2"/>
    </font>
    <font>
      <sz val="12"/>
      <name val="Calibri"/>
      <family val="2"/>
      <scheme val="minor"/>
    </font>
    <font>
      <sz val="10"/>
      <color theme="1"/>
      <name val="Calibri"/>
      <family val="2"/>
    </font>
    <font>
      <sz val="10"/>
      <name val="Calibri"/>
      <family val="2"/>
    </font>
    <font>
      <b/>
      <sz val="22"/>
      <color rgb="FFFF0000"/>
      <name val="Calibri"/>
      <family val="2"/>
      <scheme val="minor"/>
    </font>
    <font>
      <b/>
      <sz val="14"/>
      <name val="Calibri"/>
      <family val="2"/>
      <scheme val="minor"/>
    </font>
    <font>
      <sz val="14"/>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theme="1"/>
      <name val="Calibri"/>
      <family val="2"/>
      <scheme val="minor"/>
    </font>
    <font>
      <sz val="11"/>
      <color rgb="FFFF0000"/>
      <name val="Calibri"/>
      <family val="2"/>
      <scheme val="minor"/>
    </font>
    <font>
      <b/>
      <sz val="11"/>
      <color rgb="FFFF0000"/>
      <name val="Calibri"/>
      <family val="2"/>
      <scheme val="minor"/>
    </font>
    <font>
      <b/>
      <sz val="11"/>
      <color rgb="FFFF0000"/>
      <name val="Calibri"/>
      <family val="2"/>
    </font>
    <font>
      <sz val="20"/>
      <color rgb="FFFF0000"/>
      <name val="Calibri"/>
      <family val="2"/>
      <scheme val="minor"/>
    </font>
    <font>
      <b/>
      <sz val="10"/>
      <color rgb="FF008F00"/>
      <name val="Calibri"/>
      <family val="2"/>
      <scheme val="minor"/>
    </font>
    <font>
      <sz val="10"/>
      <color rgb="FF008F00"/>
      <name val="Calibri"/>
      <family val="2"/>
      <scheme val="minor"/>
    </font>
    <font>
      <b/>
      <sz val="11"/>
      <color theme="1"/>
      <name val="Calibri"/>
      <family val="2"/>
      <scheme val="minor"/>
    </font>
    <font>
      <b/>
      <sz val="18"/>
      <color theme="1"/>
      <name val="Calibri"/>
      <family val="2"/>
      <scheme val="minor"/>
    </font>
    <font>
      <sz val="8"/>
      <name val="Arial"/>
      <family val="2"/>
    </font>
    <font>
      <b/>
      <sz val="12"/>
      <name val="Arial"/>
      <family val="2"/>
    </font>
    <font>
      <sz val="9.5"/>
      <name val="Arial"/>
      <family val="2"/>
    </font>
    <font>
      <b/>
      <sz val="9.5"/>
      <name val="Arial"/>
      <family val="2"/>
    </font>
    <font>
      <u/>
      <sz val="10"/>
      <color indexed="12"/>
      <name val="Arial"/>
      <family val="2"/>
    </font>
    <font>
      <b/>
      <sz val="8"/>
      <name val="Arial"/>
      <family val="2"/>
    </font>
    <font>
      <sz val="9"/>
      <name val="Arial"/>
      <family val="2"/>
    </font>
    <font>
      <sz val="8"/>
      <color indexed="51"/>
      <name val="Arial"/>
      <family val="2"/>
    </font>
    <font>
      <b/>
      <sz val="10"/>
      <name val="Arial"/>
      <family val="2"/>
    </font>
    <font>
      <b/>
      <sz val="10"/>
      <color indexed="10"/>
      <name val="Arial"/>
      <family val="2"/>
    </font>
    <font>
      <sz val="10"/>
      <color indexed="10"/>
      <name val="Arial"/>
      <family val="2"/>
    </font>
    <font>
      <b/>
      <sz val="8"/>
      <color indexed="81"/>
      <name val="Tahoma"/>
      <family val="2"/>
    </font>
    <font>
      <sz val="10"/>
      <color theme="0"/>
      <name val="Arial"/>
      <family val="2"/>
    </font>
    <font>
      <b/>
      <i/>
      <sz val="11"/>
      <color theme="1"/>
      <name val="Calibri"/>
      <family val="2"/>
      <scheme val="minor"/>
    </font>
    <font>
      <b/>
      <sz val="12"/>
      <name val="Calibri"/>
      <family val="2"/>
      <scheme val="minor"/>
    </font>
    <font>
      <sz val="12"/>
      <color theme="1"/>
      <name val="Calibri"/>
      <family val="2"/>
      <scheme val="minor"/>
    </font>
    <font>
      <u/>
      <sz val="12"/>
      <color indexed="12"/>
      <name val="Calibri"/>
      <family val="2"/>
      <scheme val="minor"/>
    </font>
    <font>
      <b/>
      <sz val="12"/>
      <color theme="1"/>
      <name val="Calibri"/>
      <family val="2"/>
      <scheme val="minor"/>
    </font>
    <font>
      <b/>
      <sz val="15"/>
      <name val="Calibri"/>
      <family val="2"/>
      <scheme val="minor"/>
    </font>
    <font>
      <sz val="15"/>
      <name val="Calibri"/>
      <family val="2"/>
      <scheme val="minor"/>
    </font>
    <font>
      <u/>
      <sz val="12"/>
      <name val="Calibri"/>
      <family val="2"/>
      <scheme val="minor"/>
    </font>
    <font>
      <u/>
      <sz val="10"/>
      <color theme="1"/>
      <name val="Calibri"/>
      <family val="2"/>
    </font>
    <font>
      <u/>
      <sz val="10"/>
      <color rgb="FF0000FF"/>
      <name val="Calibri"/>
      <family val="2"/>
    </font>
    <font>
      <b/>
      <sz val="8"/>
      <color indexed="81"/>
      <name val="Calibri"/>
      <family val="2"/>
      <scheme val="minor"/>
    </font>
    <font>
      <sz val="8"/>
      <color indexed="81"/>
      <name val="Calibri"/>
      <family val="2"/>
      <scheme val="minor"/>
    </font>
    <font>
      <b/>
      <sz val="10"/>
      <color theme="1"/>
      <name val="Verdana"/>
      <family val="2"/>
    </font>
    <font>
      <sz val="10"/>
      <color theme="1"/>
      <name val="Verdana"/>
      <family val="2"/>
    </font>
    <font>
      <b/>
      <sz val="11"/>
      <name val="Calibri"/>
      <family val="2"/>
      <scheme val="minor"/>
    </font>
    <font>
      <sz val="9.5"/>
      <name val="Tahoma"/>
      <family val="2"/>
    </font>
    <font>
      <sz val="10"/>
      <name val="Tahoma"/>
      <family val="2"/>
    </font>
    <font>
      <b/>
      <sz val="10"/>
      <name val="Tahoma"/>
      <family val="2"/>
    </font>
    <font>
      <sz val="11"/>
      <color theme="1"/>
      <name val="Tahoma"/>
      <family val="2"/>
    </font>
    <font>
      <sz val="18"/>
      <name val="Tahoma"/>
      <family val="2"/>
    </font>
    <font>
      <b/>
      <sz val="20"/>
      <name val="Tahoma"/>
      <family val="2"/>
    </font>
    <font>
      <b/>
      <sz val="9.5"/>
      <name val="Tahoma"/>
      <family val="2"/>
    </font>
    <font>
      <sz val="8"/>
      <name val="Tahoma"/>
      <family val="2"/>
    </font>
    <font>
      <b/>
      <sz val="12"/>
      <name val="Tahoma"/>
      <family val="2"/>
    </font>
    <font>
      <b/>
      <sz val="14"/>
      <name val="Tahoma"/>
      <family val="2"/>
    </font>
    <font>
      <sz val="11"/>
      <name val="Tahoma"/>
      <family val="2"/>
    </font>
    <font>
      <b/>
      <sz val="11"/>
      <name val="Tahoma"/>
      <family val="2"/>
    </font>
    <font>
      <b/>
      <i/>
      <sz val="9.5"/>
      <name val="Tahoma"/>
      <family val="2"/>
    </font>
    <font>
      <sz val="9.5"/>
      <name val="Calibri"/>
      <family val="2"/>
      <scheme val="minor"/>
    </font>
    <font>
      <sz val="9.5"/>
      <color indexed="10"/>
      <name val="Tahoma"/>
      <family val="2"/>
    </font>
    <font>
      <sz val="9.5"/>
      <color theme="1"/>
      <name val="Tahoma"/>
      <family val="2"/>
    </font>
    <font>
      <b/>
      <sz val="9.5"/>
      <color theme="1"/>
      <name val="Tahoma"/>
      <family val="2"/>
    </font>
    <font>
      <b/>
      <i/>
      <sz val="9.5"/>
      <color theme="1"/>
      <name val="Tahoma"/>
      <family val="2"/>
    </font>
    <font>
      <sz val="10"/>
      <color rgb="FF000000"/>
      <name val="Calibri"/>
      <family val="2"/>
      <scheme val="minor"/>
    </font>
    <font>
      <b/>
      <u/>
      <sz val="11"/>
      <color theme="1"/>
      <name val="Calibri"/>
      <family val="2"/>
      <scheme val="minor"/>
    </font>
    <font>
      <b/>
      <u/>
      <sz val="14"/>
      <color theme="1"/>
      <name val="Calibri"/>
      <family val="2"/>
      <scheme val="minor"/>
    </font>
    <font>
      <b/>
      <u/>
      <sz val="12"/>
      <color theme="1"/>
      <name val="Calibri"/>
      <family val="2"/>
      <scheme val="minor"/>
    </font>
    <font>
      <b/>
      <u/>
      <sz val="15"/>
      <color theme="1"/>
      <name val="Calibri"/>
      <family val="2"/>
      <scheme val="minor"/>
    </font>
    <font>
      <b/>
      <sz val="12.5"/>
      <color theme="1"/>
      <name val="Calibri"/>
      <family val="2"/>
      <scheme val="minor"/>
    </font>
    <font>
      <i/>
      <sz val="11"/>
      <color theme="1"/>
      <name val="Calibri"/>
      <family val="2"/>
      <scheme val="minor"/>
    </font>
    <font>
      <sz val="8"/>
      <color rgb="FF000000"/>
      <name val="Tahoma"/>
      <family val="2"/>
    </font>
    <font>
      <b/>
      <sz val="9"/>
      <color indexed="81"/>
      <name val="Tahoma"/>
      <family val="2"/>
    </font>
  </fonts>
  <fills count="41">
    <fill>
      <patternFill patternType="none"/>
    </fill>
    <fill>
      <patternFill patternType="gray125"/>
    </fill>
    <fill>
      <patternFill patternType="solid">
        <fgColor rgb="FFF37771"/>
        <bgColor indexed="64"/>
      </patternFill>
    </fill>
    <fill>
      <patternFill patternType="solid">
        <fgColor theme="6" tint="0.79998168889431442"/>
        <bgColor indexed="64"/>
      </patternFill>
    </fill>
    <fill>
      <patternFill patternType="solid">
        <fgColor rgb="FFE0EB8D"/>
        <bgColor indexed="64"/>
      </patternFill>
    </fill>
    <fill>
      <patternFill patternType="solid">
        <fgColor theme="9" tint="0.59999389629810485"/>
        <bgColor indexed="64"/>
      </patternFill>
    </fill>
    <fill>
      <patternFill patternType="solid">
        <fgColor indexed="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59996337778862885"/>
        <bgColor indexed="64"/>
      </patternFill>
    </fill>
    <fill>
      <patternFill patternType="solid">
        <fgColor rgb="FFFFFF00"/>
        <bgColor indexed="64"/>
      </patternFill>
    </fill>
    <fill>
      <patternFill patternType="solid">
        <fgColor theme="0"/>
        <bgColor indexed="64"/>
      </patternFill>
    </fill>
    <fill>
      <patternFill patternType="solid">
        <fgColor theme="6"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0" tint="-0.249977111117893"/>
        <bgColor indexed="64"/>
      </patternFill>
    </fill>
    <fill>
      <patternFill patternType="solid">
        <fgColor rgb="FFFFFFFF"/>
        <bgColor indexed="64"/>
      </patternFill>
    </fill>
  </fills>
  <borders count="107">
    <border>
      <left/>
      <right/>
      <top/>
      <bottom/>
      <diagonal/>
    </border>
    <border>
      <left style="medium">
        <color auto="1"/>
      </left>
      <right/>
      <top style="medium">
        <color auto="1"/>
      </top>
      <bottom/>
      <diagonal/>
    </border>
    <border>
      <left/>
      <right/>
      <top style="medium">
        <color indexed="64"/>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6" tint="-0.499984740745262"/>
      </left>
      <right/>
      <top style="thin">
        <color theme="6" tint="-0.499984740745262"/>
      </top>
      <bottom/>
      <diagonal/>
    </border>
    <border>
      <left/>
      <right style="thin">
        <color theme="6" tint="-0.499984740745262"/>
      </right>
      <top style="thin">
        <color theme="6" tint="-0.499984740745262"/>
      </top>
      <bottom/>
      <diagonal/>
    </border>
    <border>
      <left style="thin">
        <color theme="6" tint="-0.499984740745262"/>
      </left>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6" tint="-0.499984740745262"/>
      </top>
      <bottom style="thin">
        <color theme="6" tint="-0.499984740745262"/>
      </bottom>
      <diagonal/>
    </border>
    <border>
      <left style="medium">
        <color theme="6" tint="-0.499984740745262"/>
      </left>
      <right/>
      <top style="medium">
        <color theme="6" tint="-0.499984740745262"/>
      </top>
      <bottom/>
      <diagonal/>
    </border>
    <border>
      <left/>
      <right/>
      <top style="medium">
        <color theme="6" tint="-0.499984740745262"/>
      </top>
      <bottom/>
      <diagonal/>
    </border>
    <border>
      <left/>
      <right style="medium">
        <color theme="6" tint="-0.499984740745262"/>
      </right>
      <top style="medium">
        <color theme="6" tint="-0.499984740745262"/>
      </top>
      <bottom/>
      <diagonal/>
    </border>
    <border>
      <left style="medium">
        <color theme="6" tint="-0.499984740745262"/>
      </left>
      <right/>
      <top/>
      <bottom/>
      <diagonal/>
    </border>
    <border>
      <left/>
      <right style="medium">
        <color theme="6" tint="-0.499984740745262"/>
      </right>
      <top/>
      <bottom/>
      <diagonal/>
    </border>
    <border>
      <left style="medium">
        <color theme="6" tint="-0.499984740745262"/>
      </left>
      <right/>
      <top/>
      <bottom style="medium">
        <color theme="6" tint="-0.499984740745262"/>
      </bottom>
      <diagonal/>
    </border>
    <border>
      <left/>
      <right/>
      <top/>
      <bottom style="medium">
        <color theme="6" tint="-0.499984740745262"/>
      </bottom>
      <diagonal/>
    </border>
    <border>
      <left/>
      <right style="medium">
        <color theme="6" tint="-0.499984740745262"/>
      </right>
      <top/>
      <bottom style="medium">
        <color theme="6"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theme="6" tint="-0.499984740745262"/>
      </top>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style="thin">
        <color indexed="22"/>
      </top>
      <bottom style="thin">
        <color indexed="64"/>
      </bottom>
      <diagonal/>
    </border>
    <border>
      <left style="thin">
        <color indexed="64"/>
      </left>
      <right/>
      <top style="thin">
        <color indexed="22"/>
      </top>
      <bottom/>
      <diagonal/>
    </border>
    <border>
      <left style="thin">
        <color indexed="64"/>
      </left>
      <right style="thin">
        <color indexed="64"/>
      </right>
      <top style="thin">
        <color indexed="22"/>
      </top>
      <bottom/>
      <diagonal/>
    </border>
    <border>
      <left/>
      <right/>
      <top style="thin">
        <color indexed="22"/>
      </top>
      <bottom style="thin">
        <color indexed="22"/>
      </bottom>
      <diagonal/>
    </border>
    <border>
      <left/>
      <right/>
      <top style="thin">
        <color indexed="22"/>
      </top>
      <bottom style="thin">
        <color indexed="64"/>
      </bottom>
      <diagonal/>
    </border>
    <border>
      <left/>
      <right style="thin">
        <color indexed="64"/>
      </right>
      <top style="thin">
        <color indexed="22"/>
      </top>
      <bottom style="thin">
        <color indexed="64"/>
      </bottom>
      <diagonal/>
    </border>
    <border>
      <left/>
      <right style="thin">
        <color indexed="64"/>
      </right>
      <top style="thin">
        <color indexed="64"/>
      </top>
      <bottom style="thin">
        <color indexed="22"/>
      </bottom>
      <diagonal/>
    </border>
    <border>
      <left style="thin">
        <color indexed="64"/>
      </left>
      <right/>
      <top style="thin">
        <color indexed="64"/>
      </top>
      <bottom style="thin">
        <color indexed="22"/>
      </bottom>
      <diagonal/>
    </border>
    <border>
      <left/>
      <right/>
      <top/>
      <bottom style="hair">
        <color indexed="64"/>
      </bottom>
      <diagonal/>
    </border>
    <border>
      <left style="thin">
        <color indexed="64"/>
      </left>
      <right/>
      <top style="thin">
        <color theme="0" tint="-0.34998626667073579"/>
      </top>
      <bottom style="thin">
        <color theme="0" tint="-0.34998626667073579"/>
      </bottom>
      <diagonal/>
    </border>
    <border>
      <left style="thin">
        <color indexed="64"/>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right style="thin">
        <color indexed="64"/>
      </right>
      <top style="thin">
        <color theme="0" tint="-0.34998626667073579"/>
      </top>
      <bottom style="thin">
        <color theme="0" tint="-0.34998626667073579"/>
      </bottom>
      <diagonal/>
    </border>
    <border>
      <left style="thin">
        <color indexed="64"/>
      </left>
      <right/>
      <top style="thin">
        <color indexed="64"/>
      </top>
      <bottom style="thin">
        <color theme="0" tint="-0.34998626667073579"/>
      </bottom>
      <diagonal/>
    </border>
    <border>
      <left/>
      <right style="thin">
        <color indexed="64"/>
      </right>
      <top style="thin">
        <color indexed="64"/>
      </top>
      <bottom style="thin">
        <color theme="0" tint="-0.34998626667073579"/>
      </bottom>
      <diagonal/>
    </border>
    <border>
      <left style="thin">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right/>
      <top style="thin">
        <color theme="0" tint="-0.499984740745262"/>
      </top>
      <bottom style="thin">
        <color theme="6" tint="-0.499984740745262"/>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top/>
      <bottom style="thin">
        <color theme="0" tint="-0.499984740745262"/>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thin">
        <color theme="6" tint="-0.499984740745262"/>
      </left>
      <right/>
      <top/>
      <bottom style="thin">
        <color theme="6" tint="-0.499984740745262"/>
      </bottom>
      <diagonal/>
    </border>
    <border>
      <left/>
      <right/>
      <top/>
      <bottom style="thin">
        <color theme="6" tint="-0.499984740745262"/>
      </bottom>
      <diagonal/>
    </border>
    <border>
      <left/>
      <right style="thin">
        <color theme="6" tint="-0.499984740745262"/>
      </right>
      <top/>
      <bottom style="thin">
        <color theme="6" tint="-0.499984740745262"/>
      </bottom>
      <diagonal/>
    </border>
    <border>
      <left/>
      <right style="medium">
        <color indexed="64"/>
      </right>
      <top/>
      <bottom style="medium">
        <color indexed="64"/>
      </bottom>
      <diagonal/>
    </border>
  </borders>
  <cellStyleXfs count="55">
    <xf numFmtId="0" fontId="0" fillId="0" borderId="0"/>
    <xf numFmtId="0" fontId="2" fillId="0" borderId="0" applyNumberFormat="0" applyFill="0" applyBorder="0" applyAlignment="0" applyProtection="0">
      <alignment vertical="top"/>
      <protection locked="0"/>
    </xf>
    <xf numFmtId="0" fontId="14" fillId="0" borderId="0"/>
    <xf numFmtId="0" fontId="16" fillId="0" borderId="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0" borderId="0" applyNumberFormat="0" applyBorder="0" applyAlignment="0" applyProtection="0"/>
    <xf numFmtId="0" fontId="21" fillId="13"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4" borderId="0" applyNumberFormat="0" applyBorder="0" applyAlignment="0" applyProtection="0"/>
    <xf numFmtId="0" fontId="23" fillId="8" borderId="0" applyNumberFormat="0" applyBorder="0" applyAlignment="0" applyProtection="0"/>
    <xf numFmtId="0" fontId="24" fillId="25" borderId="30" applyNumberFormat="0" applyAlignment="0" applyProtection="0"/>
    <xf numFmtId="0" fontId="25" fillId="26" borderId="31" applyNumberFormat="0" applyAlignment="0" applyProtection="0"/>
    <xf numFmtId="43" fontId="26" fillId="0" borderId="0" applyFont="0" applyFill="0" applyBorder="0" applyAlignment="0" applyProtection="0"/>
    <xf numFmtId="0" fontId="27" fillId="0" borderId="0" applyNumberFormat="0" applyFill="0" applyBorder="0" applyAlignment="0" applyProtection="0"/>
    <xf numFmtId="0" fontId="28" fillId="9" borderId="0" applyNumberFormat="0" applyBorder="0" applyAlignment="0" applyProtection="0"/>
    <xf numFmtId="0" fontId="29" fillId="0" borderId="32" applyNumberFormat="0" applyFill="0" applyAlignment="0" applyProtection="0"/>
    <xf numFmtId="0" fontId="30" fillId="0" borderId="33" applyNumberFormat="0" applyFill="0" applyAlignment="0" applyProtection="0"/>
    <xf numFmtId="0" fontId="31" fillId="0" borderId="34" applyNumberFormat="0" applyFill="0" applyAlignment="0" applyProtection="0"/>
    <xf numFmtId="0" fontId="31" fillId="0" borderId="0" applyNumberFormat="0" applyFill="0" applyBorder="0" applyAlignment="0" applyProtection="0"/>
    <xf numFmtId="0" fontId="32" fillId="12" borderId="30" applyNumberFormat="0" applyAlignment="0" applyProtection="0"/>
    <xf numFmtId="0" fontId="33" fillId="0" borderId="35" applyNumberFormat="0" applyFill="0" applyAlignment="0" applyProtection="0"/>
    <xf numFmtId="0" fontId="34" fillId="27" borderId="0" applyNumberFormat="0" applyBorder="0" applyAlignment="0" applyProtection="0"/>
    <xf numFmtId="0" fontId="13" fillId="0" borderId="0"/>
    <xf numFmtId="0" fontId="26" fillId="0" borderId="0"/>
    <xf numFmtId="0" fontId="26" fillId="0" borderId="0"/>
    <xf numFmtId="0" fontId="13" fillId="0" borderId="0"/>
    <xf numFmtId="0" fontId="26" fillId="0" borderId="0"/>
    <xf numFmtId="0" fontId="26" fillId="0" borderId="0"/>
    <xf numFmtId="0" fontId="26" fillId="28" borderId="36" applyNumberFormat="0" applyFont="0" applyAlignment="0" applyProtection="0"/>
    <xf numFmtId="0" fontId="35" fillId="25" borderId="37" applyNumberFormat="0" applyAlignment="0" applyProtection="0"/>
    <xf numFmtId="0" fontId="36" fillId="0" borderId="0" applyNumberFormat="0" applyFill="0" applyBorder="0" applyAlignment="0" applyProtection="0"/>
    <xf numFmtId="0" fontId="37" fillId="0" borderId="38" applyNumberFormat="0" applyFill="0" applyAlignment="0" applyProtection="0"/>
    <xf numFmtId="0" fontId="38" fillId="0" borderId="0" applyNumberFormat="0" applyFill="0" applyBorder="0" applyAlignment="0" applyProtection="0"/>
    <xf numFmtId="0" fontId="52" fillId="0" borderId="0" applyNumberFormat="0" applyFill="0" applyBorder="0" applyAlignment="0" applyProtection="0">
      <alignment vertical="top"/>
      <protection locked="0"/>
    </xf>
    <xf numFmtId="0" fontId="13" fillId="0" borderId="0"/>
    <xf numFmtId="0" fontId="26" fillId="0" borderId="0"/>
  </cellStyleXfs>
  <cellXfs count="1017">
    <xf numFmtId="0" fontId="0" fillId="0" borderId="0" xfId="0"/>
    <xf numFmtId="0" fontId="0" fillId="0" borderId="2" xfId="0" applyBorder="1" applyAlignment="1" applyProtection="1">
      <alignment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vertical="center"/>
      <protection hidden="1"/>
    </xf>
    <xf numFmtId="0" fontId="0" fillId="0" borderId="0" xfId="0" applyBorder="1" applyAlignment="1" applyProtection="1">
      <alignment vertical="center"/>
      <protection hidden="1"/>
    </xf>
    <xf numFmtId="0" fontId="0" fillId="0" borderId="0" xfId="0" applyAlignment="1" applyProtection="1">
      <alignment vertical="center"/>
      <protection hidden="1"/>
    </xf>
    <xf numFmtId="0" fontId="0" fillId="0" borderId="0" xfId="0" applyFont="1" applyBorder="1" applyAlignment="1" applyProtection="1">
      <alignment vertical="center"/>
      <protection hidden="1"/>
    </xf>
    <xf numFmtId="0" fontId="0" fillId="0" borderId="4" xfId="0" applyBorder="1" applyAlignment="1" applyProtection="1">
      <alignment vertical="center"/>
      <protection hidden="1"/>
    </xf>
    <xf numFmtId="0" fontId="0" fillId="0" borderId="0" xfId="0" applyBorder="1" applyAlignment="1" applyProtection="1">
      <alignment horizontal="center" vertical="center"/>
      <protection hidden="1"/>
    </xf>
    <xf numFmtId="0" fontId="0" fillId="0" borderId="0" xfId="0" applyFill="1" applyBorder="1" applyAlignment="1" applyProtection="1">
      <alignment horizontal="center" vertical="center"/>
      <protection hidden="1"/>
    </xf>
    <xf numFmtId="0" fontId="0" fillId="0" borderId="5" xfId="0" applyBorder="1" applyAlignment="1" applyProtection="1">
      <alignment vertical="center"/>
      <protection hidden="1"/>
    </xf>
    <xf numFmtId="0" fontId="0" fillId="0" borderId="0" xfId="0" applyBorder="1" applyAlignment="1" applyProtection="1">
      <alignment horizontal="left" vertical="center" indent="1"/>
      <protection hidden="1"/>
    </xf>
    <xf numFmtId="0" fontId="0" fillId="0" borderId="11" xfId="0" applyBorder="1" applyAlignment="1" applyProtection="1">
      <alignment vertical="center"/>
      <protection hidden="1"/>
    </xf>
    <xf numFmtId="0" fontId="0" fillId="3" borderId="11" xfId="0" applyFont="1" applyFill="1" applyBorder="1" applyAlignment="1" applyProtection="1">
      <alignment horizontal="center" vertical="center"/>
      <protection hidden="1"/>
    </xf>
    <xf numFmtId="0" fontId="0" fillId="5" borderId="11" xfId="0" applyFont="1" applyFill="1" applyBorder="1" applyAlignment="1" applyProtection="1">
      <alignment horizontal="center" vertical="center"/>
      <protection hidden="1"/>
    </xf>
    <xf numFmtId="0" fontId="0" fillId="4" borderId="11" xfId="0" applyFill="1" applyBorder="1" applyAlignment="1" applyProtection="1">
      <alignment horizontal="left"/>
      <protection locked="0"/>
    </xf>
    <xf numFmtId="0" fontId="0" fillId="0" borderId="6" xfId="0" applyBorder="1" applyAlignment="1" applyProtection="1">
      <alignment vertical="center"/>
      <protection hidden="1"/>
    </xf>
    <xf numFmtId="0" fontId="0" fillId="0" borderId="7" xfId="0" applyBorder="1" applyAlignment="1" applyProtection="1">
      <alignment vertical="center"/>
      <protection hidden="1"/>
    </xf>
    <xf numFmtId="0" fontId="0" fillId="0" borderId="7" xfId="0" applyBorder="1" applyAlignment="1" applyProtection="1">
      <alignment horizontal="center" vertical="center"/>
      <protection hidden="1"/>
    </xf>
    <xf numFmtId="0" fontId="0" fillId="0" borderId="8" xfId="0" applyBorder="1" applyAlignment="1" applyProtection="1">
      <alignment vertical="center"/>
      <protection hidden="1"/>
    </xf>
    <xf numFmtId="0" fontId="1" fillId="2" borderId="16" xfId="0" applyFont="1" applyFill="1" applyBorder="1"/>
    <xf numFmtId="0" fontId="1" fillId="2" borderId="17" xfId="0" applyFont="1" applyFill="1" applyBorder="1"/>
    <xf numFmtId="0" fontId="1" fillId="2" borderId="18" xfId="0" applyFont="1" applyFill="1" applyBorder="1"/>
    <xf numFmtId="0" fontId="1" fillId="2" borderId="19" xfId="0" applyFont="1" applyFill="1" applyBorder="1"/>
    <xf numFmtId="0" fontId="5" fillId="0" borderId="9" xfId="0" applyFont="1" applyFill="1" applyBorder="1" applyAlignment="1" applyProtection="1">
      <alignment horizontal="left" vertical="center"/>
      <protection hidden="1"/>
    </xf>
    <xf numFmtId="0" fontId="7" fillId="2" borderId="9" xfId="0" applyFont="1" applyFill="1" applyBorder="1"/>
    <xf numFmtId="0" fontId="0" fillId="0" borderId="0" xfId="0" applyBorder="1"/>
    <xf numFmtId="0" fontId="9" fillId="0" borderId="20" xfId="0" applyFont="1" applyBorder="1" applyProtection="1"/>
    <xf numFmtId="0" fontId="9" fillId="0" borderId="20" xfId="0" applyFont="1" applyFill="1" applyBorder="1" applyProtection="1"/>
    <xf numFmtId="0" fontId="0" fillId="0" borderId="0" xfId="0" applyFont="1"/>
    <xf numFmtId="0" fontId="3" fillId="6" borderId="20" xfId="0" applyFont="1" applyFill="1" applyBorder="1" applyProtection="1"/>
    <xf numFmtId="0" fontId="3" fillId="0" borderId="20" xfId="0" applyFont="1" applyBorder="1" applyProtection="1"/>
    <xf numFmtId="0" fontId="4" fillId="0" borderId="0" xfId="0" applyFont="1"/>
    <xf numFmtId="0" fontId="4" fillId="6" borderId="20" xfId="0" applyFont="1" applyFill="1" applyBorder="1" applyProtection="1"/>
    <xf numFmtId="0" fontId="3" fillId="0" borderId="20" xfId="0" applyFont="1" applyFill="1" applyBorder="1" applyAlignment="1" applyProtection="1">
      <alignment horizontal="left"/>
    </xf>
    <xf numFmtId="0" fontId="4" fillId="0" borderId="20" xfId="0" applyFont="1" applyBorder="1" applyProtection="1"/>
    <xf numFmtId="0" fontId="4" fillId="0" borderId="20" xfId="0" applyFont="1" applyBorder="1" applyAlignment="1" applyProtection="1">
      <alignment vertical="center"/>
    </xf>
    <xf numFmtId="0" fontId="0" fillId="0" borderId="0" xfId="0" applyAlignment="1">
      <alignment horizontal="center"/>
    </xf>
    <xf numFmtId="0" fontId="7" fillId="2" borderId="13" xfId="0" applyFont="1" applyFill="1" applyBorder="1"/>
    <xf numFmtId="0" fontId="7" fillId="2" borderId="11" xfId="0" applyFont="1" applyFill="1" applyBorder="1" applyAlignment="1">
      <alignment horizontal="center"/>
    </xf>
    <xf numFmtId="0" fontId="7" fillId="2" borderId="15" xfId="0" applyFont="1" applyFill="1" applyBorder="1"/>
    <xf numFmtId="0" fontId="0" fillId="0" borderId="4" xfId="0" applyFont="1" applyBorder="1" applyAlignment="1" applyProtection="1">
      <alignment vertical="center"/>
      <protection hidden="1"/>
    </xf>
    <xf numFmtId="0" fontId="7" fillId="2" borderId="10" xfId="0" applyFont="1" applyFill="1" applyBorder="1" applyAlignment="1">
      <alignment horizontal="center"/>
    </xf>
    <xf numFmtId="0" fontId="7" fillId="2" borderId="10" xfId="0" applyFont="1" applyFill="1" applyBorder="1"/>
    <xf numFmtId="0" fontId="0" fillId="0" borderId="12" xfId="0" applyFont="1" applyBorder="1" applyAlignment="1" applyProtection="1">
      <alignment horizontal="center" vertical="center"/>
      <protection hidden="1"/>
    </xf>
    <xf numFmtId="0" fontId="0" fillId="0" borderId="5" xfId="0" applyFont="1" applyBorder="1" applyAlignment="1" applyProtection="1">
      <alignment vertical="center"/>
      <protection hidden="1"/>
    </xf>
    <xf numFmtId="0" fontId="0" fillId="0" borderId="0" xfId="0" applyFont="1" applyBorder="1" applyAlignment="1" applyProtection="1">
      <alignment horizontal="center" vertical="center"/>
      <protection hidden="1"/>
    </xf>
    <xf numFmtId="0" fontId="0" fillId="0" borderId="0" xfId="0" applyFont="1" applyFill="1" applyBorder="1" applyAlignment="1" applyProtection="1">
      <alignment horizontal="center" vertical="center"/>
      <protection hidden="1"/>
    </xf>
    <xf numFmtId="0" fontId="0" fillId="0" borderId="11" xfId="0" applyFont="1" applyFill="1" applyBorder="1" applyAlignment="1" applyProtection="1">
      <alignment horizontal="center" vertical="center"/>
      <protection hidden="1"/>
    </xf>
    <xf numFmtId="0" fontId="0" fillId="0" borderId="0" xfId="0" applyFont="1" applyAlignment="1">
      <alignment horizontal="center"/>
    </xf>
    <xf numFmtId="0" fontId="0" fillId="0" borderId="11" xfId="0" applyFont="1" applyBorder="1" applyAlignment="1" applyProtection="1">
      <alignment vertical="center"/>
      <protection hidden="1"/>
    </xf>
    <xf numFmtId="0" fontId="0" fillId="0" borderId="11" xfId="0" applyFont="1" applyBorder="1" applyAlignment="1" applyProtection="1">
      <alignment horizontal="center" vertical="center"/>
      <protection hidden="1"/>
    </xf>
    <xf numFmtId="0" fontId="0" fillId="4" borderId="11" xfId="0" applyFont="1" applyFill="1" applyBorder="1" applyAlignment="1">
      <alignment horizontal="center"/>
    </xf>
    <xf numFmtId="0" fontId="7" fillId="2" borderId="14" xfId="0" applyFont="1" applyFill="1" applyBorder="1" applyAlignment="1">
      <alignment horizontal="center"/>
    </xf>
    <xf numFmtId="0" fontId="0" fillId="0" borderId="0" xfId="0" applyFont="1" applyBorder="1" applyAlignment="1" applyProtection="1">
      <alignment horizontal="left" vertical="center" indent="1"/>
      <protection hidden="1"/>
    </xf>
    <xf numFmtId="0" fontId="7" fillId="2" borderId="16" xfId="0" applyFont="1" applyFill="1" applyBorder="1"/>
    <xf numFmtId="0" fontId="7" fillId="2" borderId="14" xfId="0" applyFont="1" applyFill="1" applyBorder="1"/>
    <xf numFmtId="0" fontId="7" fillId="2" borderId="11" xfId="0" applyFont="1" applyFill="1" applyBorder="1"/>
    <xf numFmtId="10" fontId="0" fillId="4" borderId="11" xfId="0" applyNumberFormat="1" applyFill="1" applyBorder="1" applyAlignment="1" applyProtection="1">
      <alignment horizontal="left"/>
      <protection locked="0"/>
    </xf>
    <xf numFmtId="0" fontId="0" fillId="0" borderId="1" xfId="0" applyFont="1" applyBorder="1" applyAlignment="1" applyProtection="1">
      <alignment vertical="center"/>
      <protection hidden="1"/>
    </xf>
    <xf numFmtId="0" fontId="0" fillId="0" borderId="3" xfId="0" applyFont="1" applyBorder="1" applyAlignment="1" applyProtection="1">
      <alignment vertical="center"/>
      <protection hidden="1"/>
    </xf>
    <xf numFmtId="0" fontId="4" fillId="0" borderId="20" xfId="0" applyFont="1" applyBorder="1" applyProtection="1">
      <protection locked="0"/>
    </xf>
    <xf numFmtId="0" fontId="4" fillId="0" borderId="20" xfId="0" applyFont="1" applyBorder="1" applyAlignment="1" applyProtection="1">
      <alignment vertical="center"/>
      <protection locked="0"/>
    </xf>
    <xf numFmtId="0" fontId="4" fillId="0" borderId="20" xfId="0" applyFont="1" applyBorder="1"/>
    <xf numFmtId="0" fontId="1" fillId="2" borderId="21" xfId="0" applyFont="1" applyFill="1" applyBorder="1"/>
    <xf numFmtId="164" fontId="0" fillId="4" borderId="9" xfId="0" applyNumberFormat="1" applyFont="1" applyFill="1" applyBorder="1" applyAlignment="1" applyProtection="1">
      <alignment horizontal="center"/>
      <protection locked="0"/>
    </xf>
    <xf numFmtId="0" fontId="0" fillId="4" borderId="11" xfId="0" applyFill="1" applyBorder="1" applyAlignment="1" applyProtection="1">
      <alignment horizontal="center"/>
      <protection locked="0"/>
    </xf>
    <xf numFmtId="10" fontId="0" fillId="4" borderId="11" xfId="0" applyNumberFormat="1" applyFill="1" applyBorder="1" applyAlignment="1" applyProtection="1">
      <alignment horizontal="center"/>
      <protection locked="0"/>
    </xf>
    <xf numFmtId="0" fontId="7" fillId="2" borderId="21" xfId="0" applyFont="1" applyFill="1" applyBorder="1"/>
    <xf numFmtId="0" fontId="0" fillId="0" borderId="4" xfId="0" applyBorder="1"/>
    <xf numFmtId="0" fontId="0" fillId="0" borderId="0" xfId="0" applyBorder="1" applyAlignment="1">
      <alignment horizontal="center"/>
    </xf>
    <xf numFmtId="0" fontId="0" fillId="0" borderId="7" xfId="0" applyBorder="1"/>
    <xf numFmtId="0" fontId="0" fillId="0" borderId="7" xfId="0" applyBorder="1" applyAlignment="1">
      <alignment horizontal="center"/>
    </xf>
    <xf numFmtId="0" fontId="0" fillId="0" borderId="8" xfId="0" applyFont="1" applyBorder="1" applyAlignment="1" applyProtection="1">
      <alignment vertical="center"/>
      <protection hidden="1"/>
    </xf>
    <xf numFmtId="0" fontId="0" fillId="5" borderId="11" xfId="0" applyFill="1" applyBorder="1" applyAlignment="1" applyProtection="1">
      <alignment horizontal="left"/>
      <protection locked="0"/>
    </xf>
    <xf numFmtId="0" fontId="15" fillId="0" borderId="0" xfId="2" applyFont="1"/>
    <xf numFmtId="0" fontId="17" fillId="0" borderId="0" xfId="3" applyFont="1"/>
    <xf numFmtId="0" fontId="15" fillId="0" borderId="22" xfId="2" applyFont="1" applyBorder="1"/>
    <xf numFmtId="0" fontId="15" fillId="0" borderId="23" xfId="2" applyFont="1" applyBorder="1"/>
    <xf numFmtId="0" fontId="15" fillId="0" borderId="24" xfId="2" applyFont="1" applyBorder="1"/>
    <xf numFmtId="0" fontId="15" fillId="0" borderId="25" xfId="2" applyFont="1" applyBorder="1"/>
    <xf numFmtId="0" fontId="15" fillId="0" borderId="0" xfId="2" applyFont="1" applyBorder="1"/>
    <xf numFmtId="0" fontId="18" fillId="0" borderId="0" xfId="2" applyFont="1" applyBorder="1"/>
    <xf numFmtId="0" fontId="15" fillId="0" borderId="26" xfId="2" applyFont="1" applyBorder="1"/>
    <xf numFmtId="0" fontId="15" fillId="0" borderId="27" xfId="2" applyFont="1" applyBorder="1"/>
    <xf numFmtId="0" fontId="15" fillId="0" borderId="28" xfId="2" applyFont="1" applyBorder="1"/>
    <xf numFmtId="0" fontId="15" fillId="0" borderId="29" xfId="2" applyFont="1" applyBorder="1"/>
    <xf numFmtId="0" fontId="19" fillId="0" borderId="0" xfId="2" applyFont="1" applyAlignment="1">
      <alignment horizontal="left" indent="2"/>
    </xf>
    <xf numFmtId="0" fontId="20" fillId="0" borderId="0" xfId="2" applyFont="1" applyBorder="1"/>
    <xf numFmtId="0" fontId="20" fillId="0" borderId="0" xfId="2" applyFont="1"/>
    <xf numFmtId="0" fontId="8" fillId="5" borderId="9" xfId="1" applyFont="1" applyFill="1" applyBorder="1" applyAlignment="1" applyProtection="1">
      <alignment horizontal="center"/>
      <protection locked="0"/>
    </xf>
    <xf numFmtId="0" fontId="39" fillId="0" borderId="20" xfId="0" applyFont="1" applyBorder="1" applyProtection="1">
      <protection locked="0"/>
    </xf>
    <xf numFmtId="0" fontId="8" fillId="5" borderId="11" xfId="1" applyFont="1" applyFill="1" applyBorder="1" applyAlignment="1" applyProtection="1">
      <alignment horizontal="center"/>
      <protection locked="0"/>
    </xf>
    <xf numFmtId="0" fontId="0" fillId="29" borderId="10" xfId="0" applyFont="1" applyFill="1" applyBorder="1"/>
    <xf numFmtId="0" fontId="0" fillId="0" borderId="10" xfId="0" applyBorder="1"/>
    <xf numFmtId="0" fontId="0" fillId="0" borderId="9" xfId="0" applyBorder="1" applyAlignment="1" applyProtection="1">
      <alignment vertical="center"/>
      <protection hidden="1"/>
    </xf>
    <xf numFmtId="0" fontId="0" fillId="0" borderId="12" xfId="0" applyFont="1" applyBorder="1" applyAlignment="1" applyProtection="1">
      <alignment vertical="center"/>
      <protection hidden="1"/>
    </xf>
    <xf numFmtId="0" fontId="0" fillId="0" borderId="11" xfId="0" applyBorder="1" applyAlignment="1" applyProtection="1">
      <alignment horizontal="center" vertical="center"/>
      <protection hidden="1"/>
    </xf>
    <xf numFmtId="0" fontId="0" fillId="0" borderId="9" xfId="0" applyFill="1" applyBorder="1" applyAlignment="1" applyProtection="1">
      <alignment horizontal="left" vertical="center"/>
      <protection hidden="1"/>
    </xf>
    <xf numFmtId="0" fontId="0" fillId="0" borderId="11" xfId="0" applyBorder="1" applyAlignment="1" applyProtection="1">
      <alignment horizontal="left" vertical="center" indent="2"/>
      <protection hidden="1"/>
    </xf>
    <xf numFmtId="0" fontId="41" fillId="3" borderId="11" xfId="0" applyFont="1" applyFill="1" applyBorder="1" applyAlignment="1" applyProtection="1">
      <alignment horizontal="center" vertical="center"/>
      <protection hidden="1"/>
    </xf>
    <xf numFmtId="0" fontId="39" fillId="0" borderId="0" xfId="0" applyFont="1" applyAlignment="1" applyProtection="1">
      <alignment horizontal="center" vertical="center"/>
      <protection hidden="1"/>
    </xf>
    <xf numFmtId="0" fontId="39" fillId="0" borderId="0" xfId="0" applyFont="1" applyAlignment="1" applyProtection="1">
      <alignment vertical="center"/>
      <protection hidden="1"/>
    </xf>
    <xf numFmtId="0" fontId="4" fillId="0" borderId="0" xfId="0" applyFont="1" applyAlignment="1" applyProtection="1">
      <alignment vertical="center"/>
      <protection hidden="1"/>
    </xf>
    <xf numFmtId="0" fontId="4" fillId="0" borderId="0" xfId="0" applyFont="1" applyAlignment="1" applyProtection="1">
      <alignment horizontal="center" vertical="center"/>
      <protection hidden="1"/>
    </xf>
    <xf numFmtId="0" fontId="4" fillId="0" borderId="0" xfId="0" applyFont="1" applyAlignment="1">
      <alignment horizontal="center"/>
    </xf>
    <xf numFmtId="0" fontId="7" fillId="2" borderId="11" xfId="0" applyFont="1" applyFill="1" applyBorder="1" applyProtection="1">
      <protection hidden="1"/>
    </xf>
    <xf numFmtId="0" fontId="0" fillId="0" borderId="11" xfId="0" applyBorder="1" applyProtection="1">
      <protection hidden="1"/>
    </xf>
    <xf numFmtId="0" fontId="0" fillId="0" borderId="0" xfId="0" applyAlignment="1" applyProtection="1">
      <alignment horizontal="center" vertical="center"/>
      <protection hidden="1"/>
    </xf>
    <xf numFmtId="0" fontId="7" fillId="2" borderId="39" xfId="0" applyFont="1" applyFill="1" applyBorder="1"/>
    <xf numFmtId="0" fontId="2" fillId="4" borderId="11" xfId="1" applyFill="1" applyBorder="1" applyAlignment="1" applyProtection="1">
      <alignment horizontal="left"/>
      <protection locked="0"/>
    </xf>
    <xf numFmtId="0" fontId="0" fillId="0" borderId="11" xfId="0" applyBorder="1"/>
    <xf numFmtId="0" fontId="0" fillId="4" borderId="11" xfId="0" applyFont="1" applyFill="1" applyBorder="1" applyAlignment="1" applyProtection="1">
      <alignment horizontal="left" indent="1"/>
      <protection locked="0"/>
    </xf>
    <xf numFmtId="0" fontId="0" fillId="0" borderId="11" xfId="0" applyBorder="1" applyAlignment="1" applyProtection="1">
      <alignment horizontal="left" vertical="center" indent="1"/>
      <protection hidden="1"/>
    </xf>
    <xf numFmtId="0" fontId="0" fillId="0" borderId="5" xfId="0" applyFont="1" applyFill="1" applyBorder="1" applyAlignment="1" applyProtection="1">
      <alignment horizontal="center" vertical="center"/>
      <protection hidden="1"/>
    </xf>
    <xf numFmtId="0" fontId="0" fillId="0" borderId="0" xfId="0" applyFont="1" applyBorder="1"/>
    <xf numFmtId="0" fontId="0" fillId="3" borderId="11" xfId="0" applyFont="1" applyFill="1" applyBorder="1" applyAlignment="1" applyProtection="1">
      <alignment horizontal="left" vertical="center" indent="1"/>
      <protection hidden="1"/>
    </xf>
    <xf numFmtId="0" fontId="0" fillId="0" borderId="2" xfId="0" applyFont="1" applyBorder="1" applyAlignment="1" applyProtection="1">
      <alignment vertical="center"/>
      <protection hidden="1"/>
    </xf>
    <xf numFmtId="0" fontId="0" fillId="0" borderId="0" xfId="0" applyFont="1" applyAlignment="1" applyProtection="1">
      <alignment vertical="center"/>
      <protection hidden="1"/>
    </xf>
    <xf numFmtId="0" fontId="0" fillId="0" borderId="4" xfId="0" applyFont="1" applyBorder="1"/>
    <xf numFmtId="0" fontId="46" fillId="2" borderId="11" xfId="0" applyFont="1" applyFill="1" applyBorder="1"/>
    <xf numFmtId="0" fontId="0" fillId="0" borderId="5" xfId="0" applyFont="1" applyBorder="1"/>
    <xf numFmtId="0" fontId="0" fillId="0" borderId="11" xfId="0" applyFont="1" applyBorder="1" applyAlignment="1" applyProtection="1">
      <alignment horizontal="left" vertical="center" indent="1"/>
      <protection hidden="1"/>
    </xf>
    <xf numFmtId="0" fontId="46" fillId="2" borderId="11" xfId="0" applyFont="1" applyFill="1" applyBorder="1" applyAlignment="1">
      <alignment horizontal="center"/>
    </xf>
    <xf numFmtId="0" fontId="0" fillId="5" borderId="11" xfId="1" applyFont="1" applyFill="1" applyBorder="1" applyAlignment="1" applyProtection="1">
      <alignment horizontal="left" indent="1"/>
      <protection locked="0"/>
    </xf>
    <xf numFmtId="0" fontId="0" fillId="0" borderId="9" xfId="0" applyFont="1" applyBorder="1" applyAlignment="1" applyProtection="1">
      <alignment horizontal="left" vertical="center" indent="1"/>
      <protection hidden="1"/>
    </xf>
    <xf numFmtId="0" fontId="0" fillId="0" borderId="0" xfId="0" applyFont="1" applyBorder="1" applyAlignment="1">
      <alignment horizontal="left" indent="1"/>
    </xf>
    <xf numFmtId="0" fontId="46" fillId="2" borderId="9" xfId="0" applyFont="1" applyFill="1" applyBorder="1" applyAlignment="1">
      <alignment horizontal="left" indent="1"/>
    </xf>
    <xf numFmtId="0" fontId="46" fillId="2" borderId="17" xfId="0" applyFont="1" applyFill="1" applyBorder="1"/>
    <xf numFmtId="0" fontId="46" fillId="2" borderId="10" xfId="0" applyFont="1" applyFill="1" applyBorder="1" applyAlignment="1">
      <alignment horizontal="left" indent="1"/>
    </xf>
    <xf numFmtId="0" fontId="0" fillId="0" borderId="11" xfId="0" applyFont="1" applyBorder="1" applyAlignment="1">
      <alignment horizontal="left" indent="1"/>
    </xf>
    <xf numFmtId="0" fontId="0" fillId="0" borderId="6" xfId="0" applyFont="1" applyBorder="1"/>
    <xf numFmtId="0" fontId="0" fillId="0" borderId="7" xfId="0" applyFont="1" applyBorder="1"/>
    <xf numFmtId="0" fontId="0" fillId="0" borderId="8" xfId="0" applyFont="1" applyBorder="1"/>
    <xf numFmtId="0" fontId="46" fillId="2" borderId="11" xfId="0" applyFont="1" applyFill="1" applyBorder="1" applyAlignment="1">
      <alignment horizontal="center" vertical="center"/>
    </xf>
    <xf numFmtId="0" fontId="46" fillId="2" borderId="19" xfId="0" applyFont="1" applyFill="1" applyBorder="1" applyAlignment="1">
      <alignment horizontal="center" vertical="center"/>
    </xf>
    <xf numFmtId="0" fontId="46" fillId="2" borderId="19" xfId="0" applyFont="1" applyFill="1" applyBorder="1"/>
    <xf numFmtId="0" fontId="26" fillId="0" borderId="0" xfId="42" applyProtection="1"/>
    <xf numFmtId="0" fontId="26" fillId="0" borderId="0" xfId="42" applyAlignment="1" applyProtection="1">
      <alignment vertical="center"/>
    </xf>
    <xf numFmtId="0" fontId="26" fillId="6" borderId="48" xfId="42" applyFont="1" applyFill="1" applyBorder="1" applyProtection="1"/>
    <xf numFmtId="0" fontId="26" fillId="0" borderId="65" xfId="42" applyFont="1" applyBorder="1" applyProtection="1"/>
    <xf numFmtId="0" fontId="26" fillId="6" borderId="49" xfId="42" applyFont="1" applyFill="1" applyBorder="1" applyAlignment="1" applyProtection="1">
      <alignment horizontal="left"/>
    </xf>
    <xf numFmtId="0" fontId="26" fillId="0" borderId="50" xfId="42" applyFont="1" applyBorder="1" applyProtection="1"/>
    <xf numFmtId="0" fontId="26" fillId="0" borderId="50" xfId="42" applyFont="1" applyBorder="1" applyAlignment="1" applyProtection="1"/>
    <xf numFmtId="0" fontId="26" fillId="0" borderId="0" xfId="42" applyAlignment="1" applyProtection="1"/>
    <xf numFmtId="0" fontId="26" fillId="0" borderId="49" xfId="42" applyBorder="1" applyAlignment="1" applyProtection="1"/>
    <xf numFmtId="0" fontId="26" fillId="6" borderId="0" xfId="42" applyFont="1" applyFill="1" applyBorder="1" applyAlignment="1" applyProtection="1"/>
    <xf numFmtId="0" fontId="26" fillId="0" borderId="49" xfId="42" applyFont="1" applyBorder="1" applyProtection="1"/>
    <xf numFmtId="0" fontId="26" fillId="0" borderId="0" xfId="42" applyFont="1" applyBorder="1" applyProtection="1"/>
    <xf numFmtId="0" fontId="26" fillId="0" borderId="52" xfId="42" applyFont="1" applyBorder="1" applyProtection="1"/>
    <xf numFmtId="0" fontId="26" fillId="0" borderId="53" xfId="42" applyFont="1" applyBorder="1" applyProtection="1"/>
    <xf numFmtId="0" fontId="26" fillId="0" borderId="54" xfId="42" applyFont="1" applyBorder="1" applyProtection="1"/>
    <xf numFmtId="0" fontId="26" fillId="0" borderId="0" xfId="42" applyFont="1" applyBorder="1" applyAlignment="1" applyProtection="1">
      <alignment vertical="center"/>
    </xf>
    <xf numFmtId="0" fontId="49" fillId="6" borderId="0" xfId="42" applyFont="1" applyFill="1" applyBorder="1" applyAlignment="1" applyProtection="1">
      <alignment horizontal="centerContinuous" vertical="center"/>
    </xf>
    <xf numFmtId="0" fontId="26" fillId="0" borderId="20" xfId="42" applyFont="1" applyBorder="1" applyAlignment="1" applyProtection="1">
      <alignment horizontal="center"/>
    </xf>
    <xf numFmtId="0" fontId="26" fillId="0" borderId="63" xfId="42" applyFont="1" applyBorder="1" applyAlignment="1" applyProtection="1">
      <alignment horizontal="left" indent="1"/>
    </xf>
    <xf numFmtId="0" fontId="26" fillId="0" borderId="58" xfId="42" applyFont="1" applyBorder="1" applyProtection="1"/>
    <xf numFmtId="0" fontId="26" fillId="0" borderId="64" xfId="42" applyFont="1" applyBorder="1" applyProtection="1"/>
    <xf numFmtId="0" fontId="26" fillId="0" borderId="49" xfId="42" applyFont="1" applyBorder="1" applyAlignment="1" applyProtection="1">
      <alignment horizontal="center"/>
    </xf>
    <xf numFmtId="0" fontId="26" fillId="0" borderId="0" xfId="42" applyAlignment="1" applyProtection="1">
      <alignment wrapText="1"/>
    </xf>
    <xf numFmtId="0" fontId="26" fillId="0" borderId="67" xfId="42" applyFont="1" applyBorder="1" applyProtection="1"/>
    <xf numFmtId="0" fontId="26" fillId="0" borderId="64" xfId="42" applyFont="1" applyBorder="1" applyAlignment="1" applyProtection="1">
      <alignment horizontal="left" indent="1"/>
    </xf>
    <xf numFmtId="0" fontId="26" fillId="0" borderId="0" xfId="42" applyFont="1" applyBorder="1" applyAlignment="1" applyProtection="1">
      <alignment horizontal="left" indent="1"/>
    </xf>
    <xf numFmtId="0" fontId="26" fillId="0" borderId="0" xfId="42" applyFont="1" applyProtection="1"/>
    <xf numFmtId="0" fontId="26" fillId="0" borderId="56" xfId="42" applyFont="1" applyBorder="1" applyProtection="1"/>
    <xf numFmtId="0" fontId="26" fillId="0" borderId="0" xfId="42" applyFont="1" applyAlignment="1" applyProtection="1">
      <alignment vertical="top"/>
    </xf>
    <xf numFmtId="0" fontId="26" fillId="0" borderId="63" xfId="42" applyFont="1" applyBorder="1" applyAlignment="1" applyProtection="1">
      <alignment horizontal="left" vertical="top"/>
    </xf>
    <xf numFmtId="0" fontId="26" fillId="0" borderId="58" xfId="42" applyFont="1" applyBorder="1" applyAlignment="1" applyProtection="1">
      <alignment vertical="top"/>
    </xf>
    <xf numFmtId="0" fontId="26" fillId="0" borderId="64" xfId="42" applyFont="1" applyBorder="1" applyAlignment="1" applyProtection="1">
      <alignment vertical="top"/>
    </xf>
    <xf numFmtId="0" fontId="26" fillId="0" borderId="0" xfId="42" applyAlignment="1" applyProtection="1">
      <alignment vertical="top"/>
    </xf>
    <xf numFmtId="0" fontId="26" fillId="0" borderId="0" xfId="42" applyFont="1" applyAlignment="1" applyProtection="1">
      <alignment horizontal="left"/>
    </xf>
    <xf numFmtId="0" fontId="26" fillId="0" borderId="63" xfId="42" applyFont="1" applyBorder="1" applyProtection="1">
      <protection locked="0"/>
    </xf>
    <xf numFmtId="0" fontId="26" fillId="0" borderId="64" xfId="42" applyFont="1" applyBorder="1" applyProtection="1">
      <protection locked="0"/>
    </xf>
    <xf numFmtId="0" fontId="26" fillId="0" borderId="58" xfId="42" applyFont="1" applyBorder="1" applyProtection="1">
      <protection locked="0"/>
    </xf>
    <xf numFmtId="0" fontId="26" fillId="0" borderId="0" xfId="42" applyFont="1" applyBorder="1" applyProtection="1">
      <protection locked="0"/>
    </xf>
    <xf numFmtId="0" fontId="26" fillId="0" borderId="56" xfId="42" applyFont="1" applyBorder="1" applyAlignment="1" applyProtection="1">
      <alignment horizontal="left" wrapText="1" indent="2"/>
    </xf>
    <xf numFmtId="166" fontId="26" fillId="0" borderId="56" xfId="42" applyNumberFormat="1" applyFont="1" applyBorder="1" applyAlignment="1" applyProtection="1">
      <alignment horizontal="center"/>
    </xf>
    <xf numFmtId="0" fontId="26" fillId="0" borderId="0" xfId="42" applyFont="1" applyAlignment="1" applyProtection="1">
      <alignment horizontal="left" indent="5"/>
      <protection locked="0"/>
    </xf>
    <xf numFmtId="166" fontId="26" fillId="0" borderId="56" xfId="42" applyNumberFormat="1" applyFont="1" applyBorder="1" applyAlignment="1" applyProtection="1">
      <alignment horizontal="left" indent="5"/>
    </xf>
    <xf numFmtId="166" fontId="26" fillId="0" borderId="56" xfId="42" applyNumberFormat="1" applyFont="1" applyBorder="1" applyAlignment="1" applyProtection="1">
      <alignment horizontal="left"/>
      <protection hidden="1"/>
    </xf>
    <xf numFmtId="0" fontId="26" fillId="0" borderId="0" xfId="42" applyFont="1" applyProtection="1">
      <protection hidden="1"/>
    </xf>
    <xf numFmtId="0" fontId="26" fillId="6" borderId="58" xfId="42" applyFont="1" applyFill="1" applyBorder="1" applyAlignment="1" applyProtection="1">
      <alignment horizontal="left" vertical="center" wrapText="1"/>
      <protection hidden="1"/>
    </xf>
    <xf numFmtId="0" fontId="26" fillId="6" borderId="20" xfId="42" applyFont="1" applyFill="1" applyBorder="1" applyAlignment="1" applyProtection="1">
      <alignment horizontal="left" vertical="center" wrapText="1"/>
      <protection hidden="1"/>
    </xf>
    <xf numFmtId="0" fontId="26" fillId="6" borderId="63" xfId="42" applyFont="1" applyFill="1" applyBorder="1" applyAlignment="1" applyProtection="1">
      <alignment horizontal="left" vertical="center" wrapText="1"/>
      <protection hidden="1"/>
    </xf>
    <xf numFmtId="0" fontId="26" fillId="6" borderId="20" xfId="42" applyFont="1" applyFill="1" applyBorder="1" applyAlignment="1" applyProtection="1">
      <alignment horizontal="left" wrapText="1"/>
      <protection hidden="1"/>
    </xf>
    <xf numFmtId="0" fontId="26" fillId="0" borderId="59" xfId="42" applyFont="1" applyFill="1" applyBorder="1" applyAlignment="1" applyProtection="1">
      <alignment horizontal="center" wrapText="1"/>
    </xf>
    <xf numFmtId="0" fontId="26" fillId="0" borderId="53" xfId="42" applyFont="1" applyBorder="1" applyAlignment="1" applyProtection="1">
      <alignment horizontal="left" indent="1"/>
    </xf>
    <xf numFmtId="0" fontId="26" fillId="0" borderId="54" xfId="42" applyFont="1" applyBorder="1" applyProtection="1">
      <protection locked="0"/>
    </xf>
    <xf numFmtId="0" fontId="26" fillId="0" borderId="52" xfId="42" applyFont="1" applyBorder="1" applyAlignment="1" applyProtection="1">
      <alignment horizontal="left" indent="1"/>
    </xf>
    <xf numFmtId="0" fontId="26" fillId="0" borderId="53" xfId="42" applyFont="1" applyBorder="1" applyProtection="1">
      <protection locked="0"/>
    </xf>
    <xf numFmtId="0" fontId="26" fillId="0" borderId="51" xfId="42" applyFont="1" applyBorder="1" applyAlignment="1" applyProtection="1">
      <alignment wrapText="1"/>
    </xf>
    <xf numFmtId="0" fontId="26" fillId="0" borderId="52" xfId="42" applyFont="1" applyBorder="1" applyAlignment="1" applyProtection="1">
      <alignment wrapText="1"/>
    </xf>
    <xf numFmtId="0" fontId="26" fillId="0" borderId="66" xfId="42" applyFont="1" applyFill="1" applyBorder="1" applyAlignment="1" applyProtection="1">
      <alignment horizontal="center" wrapText="1"/>
    </xf>
    <xf numFmtId="0" fontId="26" fillId="0" borderId="67" xfId="42" applyFont="1" applyFill="1" applyBorder="1" applyAlignment="1" applyProtection="1">
      <alignment horizontal="center" wrapText="1"/>
    </xf>
    <xf numFmtId="0" fontId="26" fillId="0" borderId="49" xfId="42" applyFont="1" applyBorder="1" applyAlignment="1" applyProtection="1">
      <alignment wrapText="1"/>
    </xf>
    <xf numFmtId="0" fontId="58" fillId="0" borderId="0" xfId="42" applyFont="1" applyAlignment="1" applyProtection="1">
      <alignment wrapText="1"/>
    </xf>
    <xf numFmtId="0" fontId="56" fillId="6" borderId="0" xfId="42" applyFont="1" applyFill="1" applyBorder="1" applyAlignment="1" applyProtection="1">
      <alignment horizontal="centerContinuous" vertical="center"/>
    </xf>
    <xf numFmtId="0" fontId="26" fillId="6" borderId="0" xfId="42" applyFont="1" applyFill="1" applyBorder="1" applyAlignment="1" applyProtection="1">
      <alignment horizontal="centerContinuous" vertical="center"/>
    </xf>
    <xf numFmtId="0" fontId="56" fillId="6" borderId="0" xfId="42" applyFont="1" applyFill="1" applyBorder="1" applyAlignment="1" applyProtection="1">
      <alignment horizontal="centerContinuous" vertical="center" wrapText="1"/>
    </xf>
    <xf numFmtId="0" fontId="26" fillId="0" borderId="0" xfId="42" applyFont="1" applyBorder="1" applyAlignment="1" applyProtection="1">
      <alignment horizontal="centerContinuous" vertical="center"/>
    </xf>
    <xf numFmtId="0" fontId="26" fillId="0" borderId="50" xfId="42" applyFont="1" applyBorder="1" applyAlignment="1" applyProtection="1">
      <alignment vertical="center"/>
    </xf>
    <xf numFmtId="0" fontId="26" fillId="6" borderId="0" xfId="42" applyFont="1" applyFill="1" applyBorder="1" applyAlignment="1" applyProtection="1">
      <alignment horizontal="right"/>
    </xf>
    <xf numFmtId="0" fontId="26" fillId="0" borderId="0" xfId="45" applyProtection="1">
      <protection hidden="1"/>
    </xf>
    <xf numFmtId="0" fontId="56" fillId="0" borderId="0" xfId="45" applyFont="1" applyAlignment="1" applyProtection="1">
      <alignment horizontal="right"/>
      <protection hidden="1"/>
    </xf>
    <xf numFmtId="0" fontId="56" fillId="0" borderId="0" xfId="45" applyFont="1" applyAlignment="1" applyProtection="1">
      <alignment horizontal="left"/>
      <protection hidden="1"/>
    </xf>
    <xf numFmtId="0" fontId="26" fillId="0" borderId="0" xfId="45" applyFont="1" applyAlignment="1" applyProtection="1">
      <alignment horizontal="left"/>
      <protection hidden="1"/>
    </xf>
    <xf numFmtId="0" fontId="26" fillId="0" borderId="0" xfId="45" applyAlignment="1" applyProtection="1">
      <alignment horizontal="left"/>
      <protection hidden="1"/>
    </xf>
    <xf numFmtId="0" fontId="26" fillId="0" borderId="0" xfId="45" applyFont="1" applyAlignment="1" applyProtection="1">
      <alignment horizontal="right"/>
      <protection hidden="1"/>
    </xf>
    <xf numFmtId="0" fontId="26" fillId="0" borderId="63" xfId="45" applyBorder="1" applyProtection="1">
      <protection hidden="1"/>
    </xf>
    <xf numFmtId="0" fontId="26" fillId="0" borderId="64" xfId="45" applyBorder="1" applyAlignment="1" applyProtection="1">
      <alignment horizontal="left"/>
      <protection hidden="1"/>
    </xf>
    <xf numFmtId="0" fontId="26" fillId="0" borderId="58" xfId="45" applyBorder="1" applyAlignment="1" applyProtection="1">
      <alignment horizontal="center"/>
      <protection hidden="1"/>
    </xf>
    <xf numFmtId="0" fontId="26" fillId="0" borderId="64" xfId="45" applyFont="1" applyFill="1" applyBorder="1" applyAlignment="1" applyProtection="1">
      <protection hidden="1"/>
    </xf>
    <xf numFmtId="0" fontId="26" fillId="0" borderId="64" xfId="45" applyBorder="1" applyAlignment="1" applyProtection="1">
      <alignment horizontal="center"/>
      <protection hidden="1"/>
    </xf>
    <xf numFmtId="0" fontId="26" fillId="0" borderId="64" xfId="45" applyBorder="1" applyProtection="1">
      <protection hidden="1"/>
    </xf>
    <xf numFmtId="0" fontId="26" fillId="0" borderId="58" xfId="45" applyBorder="1" applyProtection="1">
      <protection hidden="1"/>
    </xf>
    <xf numFmtId="0" fontId="26" fillId="0" borderId="20" xfId="45" applyBorder="1" applyAlignment="1" applyProtection="1">
      <alignment horizontal="center" wrapText="1"/>
      <protection hidden="1"/>
    </xf>
    <xf numFmtId="0" fontId="26" fillId="0" borderId="20" xfId="45" applyBorder="1" applyAlignment="1" applyProtection="1">
      <alignment horizontal="center"/>
      <protection hidden="1"/>
    </xf>
    <xf numFmtId="0" fontId="48" fillId="0" borderId="20" xfId="45" applyFont="1" applyBorder="1" applyAlignment="1" applyProtection="1">
      <alignment horizontal="center" wrapText="1"/>
      <protection hidden="1"/>
    </xf>
    <xf numFmtId="0" fontId="54" fillId="0" borderId="20" xfId="45" applyFont="1" applyBorder="1" applyAlignment="1" applyProtection="1">
      <alignment horizontal="center" wrapText="1"/>
      <protection hidden="1"/>
    </xf>
    <xf numFmtId="0" fontId="26" fillId="0" borderId="20" xfId="45" quotePrefix="1" applyBorder="1" applyAlignment="1" applyProtection="1">
      <alignment horizontal="center"/>
      <protection hidden="1"/>
    </xf>
    <xf numFmtId="0" fontId="56" fillId="0" borderId="0" xfId="45" applyFont="1" applyProtection="1">
      <protection hidden="1"/>
    </xf>
    <xf numFmtId="0" fontId="26" fillId="31" borderId="50" xfId="45" applyFill="1" applyBorder="1" applyProtection="1">
      <protection hidden="1"/>
    </xf>
    <xf numFmtId="0" fontId="26" fillId="31" borderId="0" xfId="45" applyFill="1" applyBorder="1" applyProtection="1">
      <protection hidden="1"/>
    </xf>
    <xf numFmtId="0" fontId="26" fillId="31" borderId="53" xfId="45" applyFill="1" applyBorder="1" applyProtection="1">
      <protection hidden="1"/>
    </xf>
    <xf numFmtId="0" fontId="26" fillId="31" borderId="54" xfId="45" applyFill="1" applyBorder="1" applyProtection="1">
      <protection hidden="1"/>
    </xf>
    <xf numFmtId="0" fontId="26" fillId="31" borderId="50" xfId="45" applyFill="1" applyBorder="1" applyAlignment="1" applyProtection="1">
      <alignment horizontal="left"/>
      <protection hidden="1"/>
    </xf>
    <xf numFmtId="0" fontId="26" fillId="31" borderId="54" xfId="45" applyFill="1" applyBorder="1" applyAlignment="1" applyProtection="1">
      <alignment horizontal="right"/>
      <protection hidden="1"/>
    </xf>
    <xf numFmtId="43" fontId="26" fillId="31" borderId="53" xfId="45" applyNumberFormat="1" applyFill="1" applyBorder="1" applyAlignment="1" applyProtection="1">
      <alignment horizontal="left"/>
      <protection hidden="1"/>
    </xf>
    <xf numFmtId="0" fontId="26" fillId="31" borderId="51" xfId="45" applyFill="1" applyBorder="1" applyProtection="1">
      <protection hidden="1"/>
    </xf>
    <xf numFmtId="0" fontId="26" fillId="31" borderId="48" xfId="45" applyFill="1" applyBorder="1" applyProtection="1">
      <protection hidden="1"/>
    </xf>
    <xf numFmtId="0" fontId="26" fillId="31" borderId="48" xfId="45" applyFill="1" applyBorder="1" applyAlignment="1" applyProtection="1">
      <alignment horizontal="right"/>
      <protection hidden="1"/>
    </xf>
    <xf numFmtId="0" fontId="26" fillId="31" borderId="65" xfId="45" applyFill="1" applyBorder="1" applyProtection="1">
      <protection hidden="1"/>
    </xf>
    <xf numFmtId="0" fontId="26" fillId="31" borderId="49" xfId="45" applyFill="1" applyBorder="1" applyProtection="1">
      <protection hidden="1"/>
    </xf>
    <xf numFmtId="0" fontId="56" fillId="31" borderId="0" xfId="45" applyFont="1" applyFill="1" applyBorder="1" applyAlignment="1" applyProtection="1">
      <alignment horizontal="center"/>
      <protection hidden="1"/>
    </xf>
    <xf numFmtId="0" fontId="26" fillId="31" borderId="52" xfId="45" applyFill="1" applyBorder="1" applyProtection="1">
      <protection hidden="1"/>
    </xf>
    <xf numFmtId="0" fontId="26" fillId="31" borderId="0" xfId="45" applyFill="1" applyBorder="1" applyAlignment="1" applyProtection="1">
      <alignment shrinkToFit="1"/>
      <protection hidden="1"/>
    </xf>
    <xf numFmtId="43" fontId="26" fillId="31" borderId="0" xfId="31" applyNumberFormat="1" applyFont="1" applyFill="1" applyBorder="1" applyAlignment="1" applyProtection="1">
      <alignment horizontal="left"/>
      <protection locked="0"/>
    </xf>
    <xf numFmtId="15" fontId="26" fillId="31" borderId="0" xfId="45" applyNumberFormat="1" applyFill="1" applyBorder="1" applyAlignment="1" applyProtection="1">
      <alignment horizontal="left"/>
      <protection hidden="1"/>
    </xf>
    <xf numFmtId="0" fontId="56" fillId="31" borderId="0" xfId="45" applyFont="1" applyFill="1" applyBorder="1" applyProtection="1">
      <protection hidden="1"/>
    </xf>
    <xf numFmtId="0" fontId="26" fillId="31" borderId="53" xfId="45" applyFill="1" applyBorder="1" applyAlignment="1" applyProtection="1">
      <alignment wrapText="1"/>
      <protection hidden="1"/>
    </xf>
    <xf numFmtId="167" fontId="26" fillId="0" borderId="64" xfId="45" applyNumberFormat="1" applyFont="1" applyFill="1" applyBorder="1" applyAlignment="1" applyProtection="1">
      <protection hidden="1"/>
    </xf>
    <xf numFmtId="167" fontId="26" fillId="0" borderId="64" xfId="45" applyNumberFormat="1" applyFont="1" applyFill="1" applyBorder="1" applyAlignment="1" applyProtection="1">
      <alignment horizontal="left"/>
      <protection hidden="1"/>
    </xf>
    <xf numFmtId="0" fontId="26" fillId="31" borderId="49" xfId="45" applyFill="1" applyBorder="1" applyAlignment="1" applyProtection="1">
      <alignment vertical="top"/>
      <protection hidden="1"/>
    </xf>
    <xf numFmtId="0" fontId="26" fillId="31" borderId="0" xfId="45" applyFill="1" applyBorder="1" applyAlignment="1" applyProtection="1">
      <alignment vertical="top"/>
      <protection hidden="1"/>
    </xf>
    <xf numFmtId="0" fontId="26" fillId="31" borderId="50" xfId="45" applyFill="1" applyBorder="1" applyAlignment="1" applyProtection="1">
      <alignment vertical="top"/>
      <protection hidden="1"/>
    </xf>
    <xf numFmtId="0" fontId="26" fillId="31" borderId="0" xfId="45" applyFill="1" applyBorder="1" applyAlignment="1" applyProtection="1">
      <alignment horizontal="left" vertical="top" wrapText="1"/>
      <protection hidden="1"/>
    </xf>
    <xf numFmtId="0" fontId="26" fillId="31" borderId="50" xfId="45" applyFill="1" applyBorder="1" applyAlignment="1" applyProtection="1">
      <alignment vertical="center"/>
      <protection hidden="1"/>
    </xf>
    <xf numFmtId="0" fontId="26" fillId="0" borderId="0" xfId="45" applyAlignment="1" applyProtection="1">
      <alignment vertical="center"/>
      <protection hidden="1"/>
    </xf>
    <xf numFmtId="0" fontId="26" fillId="31" borderId="63" xfId="45" applyFill="1" applyBorder="1" applyAlignment="1" applyProtection="1">
      <alignment vertical="center"/>
      <protection hidden="1"/>
    </xf>
    <xf numFmtId="0" fontId="26" fillId="31" borderId="64" xfId="45" applyFill="1" applyBorder="1" applyAlignment="1" applyProtection="1">
      <alignment vertical="center"/>
      <protection hidden="1"/>
    </xf>
    <xf numFmtId="0" fontId="26" fillId="31" borderId="58" xfId="45" applyFill="1" applyBorder="1" applyAlignment="1" applyProtection="1">
      <alignment vertical="center"/>
      <protection hidden="1"/>
    </xf>
    <xf numFmtId="0" fontId="50" fillId="6" borderId="64" xfId="42" applyFont="1" applyFill="1" applyBorder="1" applyAlignment="1" applyProtection="1">
      <alignment vertical="center"/>
      <protection hidden="1"/>
    </xf>
    <xf numFmtId="167" fontId="50" fillId="6" borderId="64" xfId="42" applyNumberFormat="1" applyFont="1" applyFill="1" applyBorder="1" applyAlignment="1" applyProtection="1">
      <alignment horizontal="left" vertical="center"/>
      <protection hidden="1"/>
    </xf>
    <xf numFmtId="171" fontId="26" fillId="31" borderId="64" xfId="45" applyNumberFormat="1" applyFill="1" applyBorder="1" applyAlignment="1" applyProtection="1">
      <alignment horizontal="left" vertical="center"/>
      <protection hidden="1"/>
    </xf>
    <xf numFmtId="0" fontId="26" fillId="31" borderId="64" xfId="45" applyFill="1" applyBorder="1" applyAlignment="1" applyProtection="1">
      <alignment vertical="center"/>
      <protection locked="0" hidden="1"/>
    </xf>
    <xf numFmtId="0" fontId="26" fillId="31" borderId="58" xfId="45" applyFill="1" applyBorder="1" applyAlignment="1" applyProtection="1">
      <alignment vertical="center" wrapText="1"/>
      <protection hidden="1"/>
    </xf>
    <xf numFmtId="0" fontId="50" fillId="6" borderId="48" xfId="42" applyFont="1" applyFill="1" applyBorder="1" applyAlignment="1" applyProtection="1">
      <alignment wrapText="1"/>
      <protection hidden="1"/>
    </xf>
    <xf numFmtId="0" fontId="50" fillId="6" borderId="0" xfId="42" applyFont="1" applyFill="1" applyBorder="1" applyAlignment="1" applyProtection="1">
      <alignment wrapText="1"/>
      <protection hidden="1"/>
    </xf>
    <xf numFmtId="0" fontId="26" fillId="0" borderId="53" xfId="45" applyBorder="1" applyAlignment="1" applyProtection="1">
      <alignment horizontal="left"/>
      <protection hidden="1"/>
    </xf>
    <xf numFmtId="1" fontId="26" fillId="31" borderId="64" xfId="45" applyNumberFormat="1" applyFill="1" applyBorder="1" applyAlignment="1" applyProtection="1">
      <alignment horizontal="left" vertical="center"/>
      <protection hidden="1"/>
    </xf>
    <xf numFmtId="0" fontId="26" fillId="31" borderId="0" xfId="45" applyFill="1" applyBorder="1" applyAlignment="1" applyProtection="1">
      <alignment horizontal="left"/>
      <protection hidden="1"/>
    </xf>
    <xf numFmtId="0" fontId="61" fillId="0" borderId="0" xfId="0" applyFont="1" applyBorder="1" applyAlignment="1">
      <alignment horizontal="left" indent="2"/>
    </xf>
    <xf numFmtId="0" fontId="61" fillId="0" borderId="0" xfId="0" applyFont="1" applyBorder="1" applyAlignment="1">
      <alignment horizontal="left" indent="1"/>
    </xf>
    <xf numFmtId="0" fontId="48" fillId="6" borderId="58" xfId="42" applyFont="1" applyFill="1" applyBorder="1" applyAlignment="1" applyProtection="1">
      <alignment horizontal="center" wrapText="1"/>
      <protection hidden="1"/>
    </xf>
    <xf numFmtId="0" fontId="48" fillId="6" borderId="63" xfId="42" applyFont="1" applyFill="1" applyBorder="1" applyAlignment="1" applyProtection="1">
      <alignment horizontal="left"/>
      <protection hidden="1"/>
    </xf>
    <xf numFmtId="0" fontId="48" fillId="6" borderId="64" xfId="42" applyFont="1" applyFill="1" applyBorder="1" applyAlignment="1" applyProtection="1">
      <alignment horizontal="left"/>
      <protection hidden="1"/>
    </xf>
    <xf numFmtId="0" fontId="26" fillId="6" borderId="48" xfId="42" applyFill="1" applyBorder="1" applyProtection="1">
      <protection hidden="1"/>
    </xf>
    <xf numFmtId="0" fontId="26" fillId="0" borderId="0" xfId="42" applyProtection="1">
      <protection hidden="1"/>
    </xf>
    <xf numFmtId="0" fontId="26" fillId="6" borderId="49" xfId="42" applyFill="1" applyBorder="1" applyProtection="1">
      <protection hidden="1"/>
    </xf>
    <xf numFmtId="0" fontId="26" fillId="6" borderId="0" xfId="42" applyFill="1" applyBorder="1" applyProtection="1">
      <protection hidden="1"/>
    </xf>
    <xf numFmtId="0" fontId="26" fillId="6" borderId="50" xfId="42" applyFill="1" applyBorder="1" applyProtection="1">
      <protection hidden="1"/>
    </xf>
    <xf numFmtId="0" fontId="26" fillId="0" borderId="0" xfId="42" applyAlignment="1" applyProtection="1">
      <alignment vertical="center"/>
      <protection hidden="1"/>
    </xf>
    <xf numFmtId="0" fontId="50" fillId="6" borderId="49" xfId="42" applyFont="1" applyFill="1" applyBorder="1" applyAlignment="1" applyProtection="1">
      <alignment horizontal="left"/>
      <protection hidden="1"/>
    </xf>
    <xf numFmtId="0" fontId="48" fillId="6" borderId="59" xfId="42" applyFont="1" applyFill="1" applyBorder="1" applyAlignment="1" applyProtection="1">
      <alignment horizontal="left" indent="1"/>
      <protection hidden="1"/>
    </xf>
    <xf numFmtId="0" fontId="48" fillId="6" borderId="51" xfId="42" applyFont="1" applyFill="1" applyBorder="1" applyAlignment="1" applyProtection="1">
      <alignment horizontal="left"/>
      <protection hidden="1"/>
    </xf>
    <xf numFmtId="0" fontId="48" fillId="6" borderId="48" xfId="42" applyFont="1" applyFill="1" applyBorder="1" applyAlignment="1" applyProtection="1">
      <alignment horizontal="left"/>
      <protection hidden="1"/>
    </xf>
    <xf numFmtId="0" fontId="48" fillId="6" borderId="65" xfId="42" applyFont="1" applyFill="1" applyBorder="1" applyAlignment="1" applyProtection="1">
      <protection hidden="1"/>
    </xf>
    <xf numFmtId="0" fontId="48" fillId="6" borderId="66" xfId="42" applyFont="1" applyFill="1" applyBorder="1" applyAlignment="1" applyProtection="1">
      <alignment horizontal="left" indent="1"/>
      <protection hidden="1"/>
    </xf>
    <xf numFmtId="0" fontId="48" fillId="6" borderId="53" xfId="42" applyFont="1" applyFill="1" applyBorder="1" applyAlignment="1" applyProtection="1">
      <alignment horizontal="left"/>
      <protection hidden="1"/>
    </xf>
    <xf numFmtId="0" fontId="48" fillId="6" borderId="49" xfId="42" applyFont="1" applyFill="1" applyBorder="1" applyAlignment="1" applyProtection="1">
      <alignment horizontal="left"/>
      <protection hidden="1"/>
    </xf>
    <xf numFmtId="0" fontId="48" fillId="6" borderId="0" xfId="42" applyFont="1" applyFill="1" applyBorder="1" applyAlignment="1" applyProtection="1">
      <alignment horizontal="left"/>
      <protection hidden="1"/>
    </xf>
    <xf numFmtId="0" fontId="48" fillId="6" borderId="50" xfId="42" applyFont="1" applyFill="1" applyBorder="1" applyAlignment="1" applyProtection="1">
      <alignment horizontal="left"/>
      <protection hidden="1"/>
    </xf>
    <xf numFmtId="0" fontId="48" fillId="6" borderId="52" xfId="42" applyFont="1" applyFill="1" applyBorder="1" applyAlignment="1" applyProtection="1">
      <alignment horizontal="left"/>
      <protection hidden="1"/>
    </xf>
    <xf numFmtId="0" fontId="48" fillId="6" borderId="54" xfId="42" applyFont="1" applyFill="1" applyBorder="1" applyAlignment="1" applyProtection="1">
      <alignment horizontal="left"/>
      <protection hidden="1"/>
    </xf>
    <xf numFmtId="0" fontId="48" fillId="6" borderId="20" xfId="42" applyFont="1" applyFill="1" applyBorder="1" applyAlignment="1" applyProtection="1">
      <alignment horizontal="left" indent="1"/>
      <protection hidden="1"/>
    </xf>
    <xf numFmtId="0" fontId="48" fillId="6" borderId="58" xfId="42" applyFont="1" applyFill="1" applyBorder="1" applyAlignment="1" applyProtection="1">
      <alignment horizontal="left"/>
      <protection hidden="1"/>
    </xf>
    <xf numFmtId="0" fontId="48" fillId="6" borderId="67" xfId="42" applyFont="1" applyFill="1" applyBorder="1" applyAlignment="1" applyProtection="1">
      <alignment horizontal="left"/>
      <protection hidden="1"/>
    </xf>
    <xf numFmtId="0" fontId="48" fillId="6" borderId="51" xfId="42" applyFont="1" applyFill="1" applyBorder="1" applyAlignment="1" applyProtection="1">
      <protection hidden="1"/>
    </xf>
    <xf numFmtId="0" fontId="48" fillId="6" borderId="48" xfId="42" applyFont="1" applyFill="1" applyBorder="1" applyAlignment="1" applyProtection="1">
      <protection hidden="1"/>
    </xf>
    <xf numFmtId="0" fontId="50" fillId="6" borderId="65" xfId="42" applyFont="1" applyFill="1" applyBorder="1" applyAlignment="1" applyProtection="1">
      <protection hidden="1"/>
    </xf>
    <xf numFmtId="0" fontId="48" fillId="6" borderId="49" xfId="42" applyFont="1" applyFill="1" applyBorder="1" applyAlignment="1" applyProtection="1">
      <protection hidden="1"/>
    </xf>
    <xf numFmtId="0" fontId="48" fillId="6" borderId="0" xfId="42" applyFont="1" applyFill="1" applyBorder="1" applyAlignment="1" applyProtection="1">
      <protection hidden="1"/>
    </xf>
    <xf numFmtId="0" fontId="50" fillId="6" borderId="50" xfId="42" applyFont="1" applyFill="1" applyBorder="1" applyAlignment="1" applyProtection="1">
      <protection hidden="1"/>
    </xf>
    <xf numFmtId="0" fontId="48" fillId="6" borderId="66" xfId="42" applyFont="1" applyFill="1" applyBorder="1" applyAlignment="1" applyProtection="1">
      <alignment horizontal="left"/>
      <protection hidden="1"/>
    </xf>
    <xf numFmtId="0" fontId="48" fillId="6" borderId="52" xfId="42" applyFont="1" applyFill="1" applyBorder="1" applyAlignment="1" applyProtection="1">
      <protection hidden="1"/>
    </xf>
    <xf numFmtId="0" fontId="48" fillId="6" borderId="53" xfId="42" applyFont="1" applyFill="1" applyBorder="1" applyAlignment="1" applyProtection="1">
      <protection hidden="1"/>
    </xf>
    <xf numFmtId="0" fontId="50" fillId="6" borderId="54" xfId="42" applyFont="1" applyFill="1" applyBorder="1" applyAlignment="1" applyProtection="1">
      <protection hidden="1"/>
    </xf>
    <xf numFmtId="166" fontId="48" fillId="6" borderId="64" xfId="42" applyNumberFormat="1" applyFont="1" applyFill="1" applyBorder="1" applyAlignment="1" applyProtection="1">
      <alignment horizontal="left"/>
      <protection hidden="1"/>
    </xf>
    <xf numFmtId="166" fontId="48" fillId="6" borderId="58" xfId="42" applyNumberFormat="1" applyFont="1" applyFill="1" applyBorder="1" applyAlignment="1" applyProtection="1">
      <alignment horizontal="left"/>
      <protection hidden="1"/>
    </xf>
    <xf numFmtId="166" fontId="55" fillId="6" borderId="0" xfId="42" applyNumberFormat="1" applyFont="1" applyFill="1" applyBorder="1" applyAlignment="1" applyProtection="1">
      <alignment horizontal="left"/>
      <protection hidden="1"/>
    </xf>
    <xf numFmtId="166" fontId="48" fillId="6" borderId="0" xfId="42" applyNumberFormat="1" applyFont="1" applyFill="1" applyBorder="1" applyAlignment="1" applyProtection="1">
      <alignment horizontal="left" vertical="center"/>
      <protection hidden="1"/>
    </xf>
    <xf numFmtId="166" fontId="48" fillId="6" borderId="53" xfId="42" applyNumberFormat="1" applyFont="1" applyFill="1" applyBorder="1" applyAlignment="1" applyProtection="1">
      <alignment horizontal="left" vertical="center"/>
      <protection hidden="1"/>
    </xf>
    <xf numFmtId="0" fontId="48" fillId="6" borderId="20" xfId="42" applyFont="1" applyFill="1" applyBorder="1" applyAlignment="1" applyProtection="1">
      <protection hidden="1"/>
    </xf>
    <xf numFmtId="0" fontId="48" fillId="6" borderId="20" xfId="42" applyFont="1" applyFill="1" applyBorder="1" applyAlignment="1" applyProtection="1">
      <alignment horizontal="left"/>
      <protection hidden="1"/>
    </xf>
    <xf numFmtId="0" fontId="55" fillId="6" borderId="0" xfId="42" applyFont="1" applyFill="1" applyBorder="1" applyAlignment="1" applyProtection="1">
      <alignment horizontal="left"/>
      <protection hidden="1"/>
    </xf>
    <xf numFmtId="0" fontId="55" fillId="6" borderId="0" xfId="42" applyFont="1" applyFill="1" applyBorder="1" applyAlignment="1" applyProtection="1">
      <protection hidden="1"/>
    </xf>
    <xf numFmtId="0" fontId="55" fillId="6" borderId="50" xfId="42" applyFont="1" applyFill="1" applyBorder="1" applyAlignment="1" applyProtection="1">
      <alignment horizontal="left"/>
      <protection hidden="1"/>
    </xf>
    <xf numFmtId="0" fontId="48" fillId="6" borderId="49" xfId="42" applyFont="1" applyFill="1" applyBorder="1" applyAlignment="1" applyProtection="1">
      <alignment horizontal="center" vertical="center"/>
      <protection hidden="1"/>
    </xf>
    <xf numFmtId="0" fontId="48" fillId="6" borderId="0" xfId="42" applyFont="1" applyFill="1" applyBorder="1" applyAlignment="1" applyProtection="1">
      <alignment horizontal="center" vertical="center"/>
      <protection hidden="1"/>
    </xf>
    <xf numFmtId="0" fontId="55" fillId="6" borderId="0" xfId="42" applyFont="1" applyFill="1" applyBorder="1" applyAlignment="1" applyProtection="1">
      <alignment horizontal="center" vertical="center"/>
      <protection hidden="1"/>
    </xf>
    <xf numFmtId="0" fontId="55" fillId="6" borderId="50" xfId="42" applyFont="1" applyFill="1" applyBorder="1" applyAlignment="1" applyProtection="1">
      <alignment horizontal="center" vertical="center"/>
      <protection hidden="1"/>
    </xf>
    <xf numFmtId="0" fontId="26" fillId="0" borderId="0" xfId="42" applyFont="1" applyAlignment="1" applyProtection="1">
      <alignment horizontal="center" vertical="center"/>
      <protection hidden="1"/>
    </xf>
    <xf numFmtId="0" fontId="53" fillId="6" borderId="0" xfId="42" applyFont="1" applyFill="1" applyBorder="1" applyAlignment="1" applyProtection="1">
      <alignment horizontal="center"/>
      <protection hidden="1"/>
    </xf>
    <xf numFmtId="0" fontId="48" fillId="6" borderId="20" xfId="42" applyFont="1" applyFill="1" applyBorder="1" applyAlignment="1" applyProtection="1">
      <alignment horizontal="center" wrapText="1"/>
      <protection hidden="1"/>
    </xf>
    <xf numFmtId="166" fontId="48" fillId="6" borderId="20" xfId="42" applyNumberFormat="1" applyFont="1" applyFill="1" applyBorder="1" applyAlignment="1" applyProtection="1">
      <alignment horizontal="center" wrapText="1"/>
      <protection hidden="1"/>
    </xf>
    <xf numFmtId="0" fontId="48" fillId="6" borderId="51" xfId="42" applyFont="1" applyFill="1" applyBorder="1" applyAlignment="1" applyProtection="1">
      <alignment horizontal="center" vertical="center"/>
      <protection hidden="1"/>
    </xf>
    <xf numFmtId="0" fontId="48" fillId="6" borderId="48" xfId="42" applyFont="1" applyFill="1" applyBorder="1" applyAlignment="1" applyProtection="1">
      <alignment horizontal="center" vertical="center"/>
      <protection hidden="1"/>
    </xf>
    <xf numFmtId="0" fontId="55" fillId="6" borderId="48" xfId="42" applyFont="1" applyFill="1" applyBorder="1" applyAlignment="1" applyProtection="1">
      <alignment horizontal="center" vertical="center"/>
      <protection hidden="1"/>
    </xf>
    <xf numFmtId="0" fontId="55" fillId="6" borderId="65" xfId="42" applyFont="1" applyFill="1" applyBorder="1" applyAlignment="1" applyProtection="1">
      <alignment horizontal="center" vertical="center"/>
      <protection hidden="1"/>
    </xf>
    <xf numFmtId="0" fontId="48" fillId="6" borderId="59" xfId="42" applyFont="1" applyFill="1" applyBorder="1" applyAlignment="1" applyProtection="1">
      <alignment wrapText="1"/>
      <protection hidden="1"/>
    </xf>
    <xf numFmtId="0" fontId="48" fillId="6" borderId="59" xfId="42" applyFont="1" applyFill="1" applyBorder="1" applyAlignment="1" applyProtection="1">
      <alignment horizontal="center" wrapText="1"/>
      <protection hidden="1"/>
    </xf>
    <xf numFmtId="166" fontId="48" fillId="6" borderId="59" xfId="42" applyNumberFormat="1" applyFont="1" applyFill="1" applyBorder="1" applyAlignment="1" applyProtection="1">
      <alignment horizontal="center" wrapText="1"/>
      <protection hidden="1"/>
    </xf>
    <xf numFmtId="0" fontId="26" fillId="0" borderId="0" xfId="42" applyAlignment="1" applyProtection="1"/>
    <xf numFmtId="1" fontId="48" fillId="6" borderId="64" xfId="42" applyNumberFormat="1" applyFont="1" applyFill="1" applyBorder="1" applyAlignment="1" applyProtection="1">
      <alignment horizontal="left"/>
      <protection hidden="1"/>
    </xf>
    <xf numFmtId="166" fontId="48" fillId="6" borderId="60" xfId="42" applyNumberFormat="1" applyFont="1" applyFill="1" applyBorder="1" applyAlignment="1" applyProtection="1">
      <alignment horizontal="center" wrapText="1"/>
      <protection hidden="1"/>
    </xf>
    <xf numFmtId="166" fontId="48" fillId="6" borderId="61" xfId="42" applyNumberFormat="1" applyFont="1" applyFill="1" applyBorder="1" applyAlignment="1" applyProtection="1">
      <alignment horizontal="center" wrapText="1"/>
      <protection hidden="1"/>
    </xf>
    <xf numFmtId="166" fontId="48" fillId="6" borderId="62" xfId="42" applyNumberFormat="1" applyFont="1" applyFill="1" applyBorder="1" applyAlignment="1" applyProtection="1">
      <alignment horizontal="center" wrapText="1"/>
      <protection hidden="1"/>
    </xf>
    <xf numFmtId="0" fontId="48" fillId="6" borderId="53" xfId="42" applyFont="1" applyFill="1" applyBorder="1" applyAlignment="1" applyProtection="1">
      <alignment horizontal="centerContinuous" vertical="center"/>
      <protection hidden="1"/>
    </xf>
    <xf numFmtId="0" fontId="26" fillId="0" borderId="64" xfId="42" applyFont="1" applyBorder="1" applyProtection="1">
      <protection hidden="1"/>
    </xf>
    <xf numFmtId="0" fontId="26" fillId="0" borderId="0" xfId="42" applyFont="1" applyProtection="1">
      <protection hidden="1"/>
    </xf>
    <xf numFmtId="0" fontId="26" fillId="6" borderId="58" xfId="42" applyFont="1" applyFill="1" applyBorder="1" applyAlignment="1" applyProtection="1">
      <alignment horizontal="left" vertical="center" wrapText="1"/>
      <protection hidden="1"/>
    </xf>
    <xf numFmtId="0" fontId="26" fillId="6" borderId="20" xfId="42" applyFont="1" applyFill="1" applyBorder="1" applyAlignment="1" applyProtection="1">
      <alignment horizontal="left" vertical="center" wrapText="1"/>
      <protection hidden="1"/>
    </xf>
    <xf numFmtId="0" fontId="26" fillId="6" borderId="63" xfId="42" applyFont="1" applyFill="1" applyBorder="1" applyAlignment="1" applyProtection="1">
      <alignment horizontal="left" vertical="center" wrapText="1"/>
      <protection hidden="1"/>
    </xf>
    <xf numFmtId="0" fontId="26" fillId="6" borderId="50" xfId="42" applyFill="1" applyBorder="1" applyAlignment="1" applyProtection="1">
      <alignment horizontal="centerContinuous" vertical="center"/>
      <protection hidden="1"/>
    </xf>
    <xf numFmtId="0" fontId="26" fillId="0" borderId="0" xfId="42" applyBorder="1" applyProtection="1">
      <protection hidden="1"/>
    </xf>
    <xf numFmtId="0" fontId="26" fillId="0" borderId="0" xfId="42" applyFont="1" applyBorder="1" applyAlignment="1" applyProtection="1">
      <alignment vertical="center"/>
      <protection hidden="1"/>
    </xf>
    <xf numFmtId="167" fontId="48" fillId="6" borderId="0" xfId="42" applyNumberFormat="1" applyFont="1" applyFill="1" applyBorder="1" applyAlignment="1" applyProtection="1">
      <alignment horizontal="left" wrapText="1"/>
      <protection hidden="1"/>
    </xf>
    <xf numFmtId="0" fontId="48" fillId="6" borderId="50" xfId="42" applyFont="1" applyFill="1" applyBorder="1" applyAlignment="1" applyProtection="1">
      <protection hidden="1"/>
    </xf>
    <xf numFmtId="0" fontId="48" fillId="6" borderId="54" xfId="42" applyFont="1" applyFill="1" applyBorder="1" applyAlignment="1" applyProtection="1">
      <protection hidden="1"/>
    </xf>
    <xf numFmtId="166" fontId="48" fillId="6" borderId="51" xfId="42" applyNumberFormat="1" applyFont="1" applyFill="1" applyBorder="1" applyAlignment="1" applyProtection="1">
      <alignment horizontal="center"/>
      <protection hidden="1"/>
    </xf>
    <xf numFmtId="168" fontId="48" fillId="6" borderId="51" xfId="42" applyNumberFormat="1" applyFont="1" applyFill="1" applyBorder="1" applyAlignment="1" applyProtection="1">
      <alignment horizontal="center"/>
      <protection hidden="1"/>
    </xf>
    <xf numFmtId="0" fontId="48" fillId="6" borderId="72" xfId="42" applyFont="1" applyFill="1" applyBorder="1" applyAlignment="1" applyProtection="1">
      <alignment horizontal="left"/>
      <protection hidden="1"/>
    </xf>
    <xf numFmtId="166" fontId="48" fillId="6" borderId="72" xfId="42" applyNumberFormat="1" applyFont="1" applyFill="1" applyBorder="1" applyAlignment="1" applyProtection="1">
      <alignment horizontal="center"/>
      <protection hidden="1"/>
    </xf>
    <xf numFmtId="168" fontId="48" fillId="6" borderId="72" xfId="42" applyNumberFormat="1" applyFont="1" applyFill="1" applyBorder="1" applyAlignment="1" applyProtection="1">
      <alignment horizontal="center"/>
      <protection hidden="1"/>
    </xf>
    <xf numFmtId="0" fontId="48" fillId="6" borderId="73" xfId="42" applyFont="1" applyFill="1" applyBorder="1" applyAlignment="1" applyProtection="1">
      <alignment horizontal="left"/>
      <protection hidden="1"/>
    </xf>
    <xf numFmtId="166" fontId="48" fillId="6" borderId="73" xfId="42" applyNumberFormat="1" applyFont="1" applyFill="1" applyBorder="1" applyAlignment="1" applyProtection="1">
      <alignment horizontal="center"/>
      <protection hidden="1"/>
    </xf>
    <xf numFmtId="168" fontId="48" fillId="6" borderId="73" xfId="42" applyNumberFormat="1" applyFont="1" applyFill="1" applyBorder="1" applyAlignment="1" applyProtection="1">
      <alignment horizontal="center"/>
      <protection hidden="1"/>
    </xf>
    <xf numFmtId="0" fontId="26" fillId="0" borderId="20" xfId="45" applyBorder="1" applyAlignment="1" applyProtection="1">
      <alignment shrinkToFit="1"/>
      <protection hidden="1"/>
    </xf>
    <xf numFmtId="15" fontId="26" fillId="0" borderId="20" xfId="45" applyNumberFormat="1" applyBorder="1" applyAlignment="1" applyProtection="1">
      <alignment horizontal="center" wrapText="1"/>
      <protection hidden="1"/>
    </xf>
    <xf numFmtId="172" fontId="26" fillId="0" borderId="20" xfId="45" applyNumberFormat="1" applyBorder="1" applyAlignment="1" applyProtection="1">
      <alignment horizontal="center"/>
      <protection hidden="1"/>
    </xf>
    <xf numFmtId="166" fontId="48" fillId="6" borderId="63" xfId="42" applyNumberFormat="1" applyFont="1" applyFill="1" applyBorder="1" applyAlignment="1" applyProtection="1">
      <alignment horizontal="right"/>
      <protection hidden="1"/>
    </xf>
    <xf numFmtId="167" fontId="26" fillId="6" borderId="20" xfId="42" applyNumberFormat="1" applyFont="1" applyFill="1" applyBorder="1" applyAlignment="1" applyProtection="1">
      <alignment horizontal="left" vertical="center" wrapText="1"/>
      <protection hidden="1"/>
    </xf>
    <xf numFmtId="0" fontId="26" fillId="0" borderId="20" xfId="45" applyFont="1" applyFill="1" applyBorder="1" applyAlignment="1" applyProtection="1">
      <protection hidden="1"/>
    </xf>
    <xf numFmtId="166" fontId="53" fillId="30" borderId="20" xfId="42" applyNumberFormat="1" applyFont="1" applyFill="1" applyBorder="1" applyAlignment="1" applyProtection="1">
      <alignment horizontal="center" wrapText="1"/>
      <protection hidden="1"/>
    </xf>
    <xf numFmtId="0" fontId="48" fillId="30" borderId="20" xfId="42" applyFont="1" applyFill="1" applyBorder="1" applyAlignment="1" applyProtection="1">
      <alignment horizontal="center" wrapText="1"/>
      <protection hidden="1"/>
    </xf>
    <xf numFmtId="0" fontId="48" fillId="30" borderId="59" xfId="42" applyFont="1" applyFill="1" applyBorder="1" applyAlignment="1" applyProtection="1">
      <alignment horizontal="center" wrapText="1"/>
      <protection locked="0"/>
    </xf>
    <xf numFmtId="166" fontId="48" fillId="30" borderId="74" xfId="42" applyNumberFormat="1" applyFont="1" applyFill="1" applyBorder="1" applyAlignment="1" applyProtection="1">
      <alignment horizontal="center"/>
      <protection locked="0"/>
    </xf>
    <xf numFmtId="166" fontId="48" fillId="30" borderId="62" xfId="42" applyNumberFormat="1" applyFont="1" applyFill="1" applyBorder="1" applyAlignment="1" applyProtection="1">
      <alignment horizontal="center"/>
      <protection locked="0"/>
    </xf>
    <xf numFmtId="172" fontId="26" fillId="0" borderId="20" xfId="45" applyNumberFormat="1" applyBorder="1" applyAlignment="1" applyProtection="1">
      <alignment horizontal="left" vertical="center"/>
      <protection hidden="1"/>
    </xf>
    <xf numFmtId="0" fontId="26" fillId="0" borderId="20" xfId="45" applyFont="1" applyFill="1" applyBorder="1" applyAlignment="1" applyProtection="1">
      <alignment horizontal="left" vertical="center"/>
      <protection hidden="1"/>
    </xf>
    <xf numFmtId="0" fontId="26" fillId="0" borderId="64" xfId="45" applyFont="1" applyFill="1" applyBorder="1" applyAlignment="1" applyProtection="1">
      <alignment vertical="center" wrapText="1"/>
      <protection hidden="1"/>
    </xf>
    <xf numFmtId="0" fontId="48" fillId="6" borderId="49" xfId="42" applyFont="1" applyFill="1" applyBorder="1" applyAlignment="1" applyProtection="1">
      <alignment horizontal="left" wrapText="1"/>
      <protection hidden="1"/>
    </xf>
    <xf numFmtId="0" fontId="48" fillId="6" borderId="0" xfId="42" applyFont="1" applyFill="1" applyBorder="1" applyAlignment="1" applyProtection="1">
      <alignment horizontal="left" wrapText="1"/>
      <protection hidden="1"/>
    </xf>
    <xf numFmtId="0" fontId="48" fillId="6" borderId="50" xfId="42" applyFont="1" applyFill="1" applyBorder="1" applyAlignment="1" applyProtection="1">
      <alignment horizontal="left" wrapText="1"/>
      <protection hidden="1"/>
    </xf>
    <xf numFmtId="0" fontId="0" fillId="0" borderId="0" xfId="0" applyFont="1" applyProtection="1">
      <protection hidden="1"/>
    </xf>
    <xf numFmtId="0" fontId="0" fillId="0" borderId="4" xfId="0" applyFont="1" applyBorder="1" applyProtection="1">
      <protection hidden="1"/>
    </xf>
    <xf numFmtId="0" fontId="0" fillId="0" borderId="0" xfId="0" applyBorder="1" applyAlignment="1" applyProtection="1">
      <alignment wrapText="1"/>
      <protection hidden="1"/>
    </xf>
    <xf numFmtId="0" fontId="0" fillId="0" borderId="0" xfId="0" applyFont="1" applyBorder="1" applyProtection="1">
      <protection hidden="1"/>
    </xf>
    <xf numFmtId="0" fontId="0" fillId="0" borderId="5" xfId="0" applyFont="1" applyBorder="1" applyProtection="1">
      <protection hidden="1"/>
    </xf>
    <xf numFmtId="0" fontId="46" fillId="0" borderId="0" xfId="0" applyFont="1" applyBorder="1" applyProtection="1">
      <protection hidden="1"/>
    </xf>
    <xf numFmtId="0" fontId="0" fillId="0" borderId="0" xfId="0" applyBorder="1" applyProtection="1">
      <protection hidden="1"/>
    </xf>
    <xf numFmtId="0" fontId="0" fillId="0" borderId="53" xfId="0" applyFont="1" applyBorder="1" applyProtection="1">
      <protection hidden="1"/>
    </xf>
    <xf numFmtId="0" fontId="0" fillId="0" borderId="64" xfId="0" applyFont="1" applyBorder="1" applyAlignment="1" applyProtection="1">
      <alignment horizontal="left" indent="1"/>
      <protection hidden="1"/>
    </xf>
    <xf numFmtId="0" fontId="0" fillId="0" borderId="64" xfId="0" applyFont="1" applyBorder="1" applyProtection="1">
      <protection hidden="1"/>
    </xf>
    <xf numFmtId="0" fontId="0" fillId="0" borderId="6" xfId="0" applyFont="1" applyBorder="1" applyProtection="1">
      <protection hidden="1"/>
    </xf>
    <xf numFmtId="0" fontId="0" fillId="0" borderId="7" xfId="0" applyFont="1" applyBorder="1" applyProtection="1">
      <protection hidden="1"/>
    </xf>
    <xf numFmtId="0" fontId="0" fillId="0" borderId="8" xfId="0" applyFont="1" applyBorder="1" applyProtection="1">
      <protection hidden="1"/>
    </xf>
    <xf numFmtId="0" fontId="0" fillId="4" borderId="11" xfId="0" applyFill="1" applyBorder="1" applyAlignment="1" applyProtection="1">
      <protection locked="0"/>
    </xf>
    <xf numFmtId="0" fontId="0" fillId="0" borderId="53" xfId="0" applyFont="1" applyBorder="1" applyAlignment="1" applyProtection="1">
      <alignment horizontal="left" indent="1"/>
      <protection locked="0" hidden="1"/>
    </xf>
    <xf numFmtId="0" fontId="63" fillId="0" borderId="0" xfId="0" applyFont="1" applyBorder="1" applyProtection="1">
      <protection hidden="1"/>
    </xf>
    <xf numFmtId="0" fontId="63" fillId="0" borderId="3" xfId="0" applyFont="1" applyBorder="1" applyProtection="1">
      <protection hidden="1"/>
    </xf>
    <xf numFmtId="0" fontId="63" fillId="0" borderId="4" xfId="0" applyFont="1" applyBorder="1" applyAlignment="1" applyProtection="1">
      <alignment vertical="center"/>
      <protection hidden="1"/>
    </xf>
    <xf numFmtId="0" fontId="63" fillId="0" borderId="5" xfId="0" applyFont="1" applyBorder="1" applyAlignment="1" applyProtection="1">
      <alignment vertical="center"/>
      <protection hidden="1"/>
    </xf>
    <xf numFmtId="0" fontId="63" fillId="0" borderId="4" xfId="0" applyFont="1" applyBorder="1" applyProtection="1">
      <protection hidden="1"/>
    </xf>
    <xf numFmtId="0" fontId="63" fillId="0" borderId="5" xfId="0" applyFont="1" applyBorder="1" applyProtection="1">
      <protection hidden="1"/>
    </xf>
    <xf numFmtId="0" fontId="63" fillId="0" borderId="55" xfId="0" applyFont="1" applyBorder="1" applyProtection="1">
      <protection hidden="1"/>
    </xf>
    <xf numFmtId="0" fontId="63" fillId="0" borderId="57" xfId="0" applyFont="1" applyBorder="1" applyProtection="1">
      <protection hidden="1"/>
    </xf>
    <xf numFmtId="0" fontId="15" fillId="0" borderId="12" xfId="54" applyFont="1" applyBorder="1" applyAlignment="1" applyProtection="1">
      <alignment horizontal="left" vertical="center"/>
      <protection hidden="1"/>
    </xf>
    <xf numFmtId="1" fontId="15" fillId="0" borderId="9" xfId="54" applyNumberFormat="1" applyFont="1" applyBorder="1" applyAlignment="1" applyProtection="1">
      <alignment horizontal="left" vertical="center"/>
      <protection hidden="1"/>
    </xf>
    <xf numFmtId="0" fontId="15" fillId="0" borderId="10" xfId="54" applyFont="1" applyBorder="1" applyAlignment="1" applyProtection="1">
      <alignment horizontal="center" vertical="center"/>
      <protection hidden="1"/>
    </xf>
    <xf numFmtId="0" fontId="15" fillId="0" borderId="11" xfId="54" applyFont="1" applyBorder="1" applyAlignment="1" applyProtection="1">
      <alignment horizontal="left" vertical="center"/>
      <protection hidden="1"/>
    </xf>
    <xf numFmtId="0" fontId="15" fillId="0" borderId="9" xfId="54" applyFont="1" applyBorder="1" applyAlignment="1" applyProtection="1">
      <alignment horizontal="left" vertical="center"/>
      <protection hidden="1"/>
    </xf>
    <xf numFmtId="0" fontId="15" fillId="0" borderId="10" xfId="54" applyFont="1" applyBorder="1" applyAlignment="1" applyProtection="1">
      <alignment horizontal="left" vertical="center"/>
      <protection hidden="1"/>
    </xf>
    <xf numFmtId="1" fontId="15" fillId="0" borderId="11" xfId="54" applyNumberFormat="1" applyFont="1" applyBorder="1" applyAlignment="1" applyProtection="1">
      <alignment horizontal="left" vertical="center"/>
      <protection hidden="1"/>
    </xf>
    <xf numFmtId="0" fontId="15" fillId="0" borderId="9" xfId="54" applyFont="1" applyBorder="1" applyAlignment="1" applyProtection="1">
      <alignment vertical="center"/>
      <protection hidden="1"/>
    </xf>
    <xf numFmtId="0" fontId="64" fillId="0" borderId="12" xfId="52" applyFont="1" applyBorder="1" applyAlignment="1" applyProtection="1">
      <alignment horizontal="left" vertical="center"/>
      <protection hidden="1"/>
    </xf>
    <xf numFmtId="0" fontId="15" fillId="6" borderId="9" xfId="42" applyNumberFormat="1" applyFont="1" applyFill="1" applyBorder="1" applyAlignment="1" applyProtection="1">
      <alignment horizontal="left" vertical="center"/>
      <protection hidden="1"/>
    </xf>
    <xf numFmtId="0" fontId="15" fillId="6" borderId="12" xfId="42" applyNumberFormat="1" applyFont="1" applyFill="1" applyBorder="1" applyAlignment="1" applyProtection="1">
      <alignment horizontal="left" vertical="center"/>
      <protection hidden="1"/>
    </xf>
    <xf numFmtId="0" fontId="15" fillId="6" borderId="12" xfId="42" applyFont="1" applyFill="1" applyBorder="1" applyAlignment="1" applyProtection="1">
      <alignment horizontal="left" vertical="center"/>
      <protection hidden="1"/>
    </xf>
    <xf numFmtId="0" fontId="15" fillId="6" borderId="10" xfId="42" applyFont="1" applyFill="1" applyBorder="1" applyAlignment="1" applyProtection="1">
      <alignment horizontal="left" vertical="center"/>
      <protection hidden="1"/>
    </xf>
    <xf numFmtId="0" fontId="15" fillId="6" borderId="11" xfId="42" applyFont="1" applyFill="1" applyBorder="1" applyAlignment="1" applyProtection="1">
      <alignment horizontal="left" vertical="center"/>
      <protection hidden="1"/>
    </xf>
    <xf numFmtId="0" fontId="62" fillId="0" borderId="9" xfId="54" applyFont="1" applyBorder="1" applyAlignment="1" applyProtection="1">
      <alignment horizontal="left" vertical="center"/>
      <protection hidden="1"/>
    </xf>
    <xf numFmtId="0" fontId="15" fillId="0" borderId="17" xfId="54" applyFont="1" applyBorder="1" applyAlignment="1" applyProtection="1">
      <alignment horizontal="left" vertical="center"/>
      <protection hidden="1"/>
    </xf>
    <xf numFmtId="0" fontId="62" fillId="0" borderId="11" xfId="54" applyFont="1" applyBorder="1" applyAlignment="1" applyProtection="1">
      <alignment horizontal="left" vertical="center"/>
      <protection hidden="1"/>
    </xf>
    <xf numFmtId="0" fontId="15" fillId="0" borderId="2" xfId="54" applyFont="1" applyBorder="1" applyProtection="1">
      <protection hidden="1"/>
    </xf>
    <xf numFmtId="0" fontId="15" fillId="0" borderId="0" xfId="54" applyFont="1" applyProtection="1">
      <protection hidden="1"/>
    </xf>
    <xf numFmtId="0" fontId="15" fillId="0" borderId="0" xfId="54" applyFont="1" applyBorder="1" applyProtection="1">
      <protection hidden="1"/>
    </xf>
    <xf numFmtId="0" fontId="15" fillId="0" borderId="4" xfId="54" applyFont="1" applyBorder="1" applyProtection="1">
      <protection hidden="1"/>
    </xf>
    <xf numFmtId="0" fontId="15" fillId="0" borderId="5" xfId="54" applyFont="1" applyBorder="1" applyProtection="1">
      <protection hidden="1"/>
    </xf>
    <xf numFmtId="0" fontId="62" fillId="0" borderId="0" xfId="54" applyFont="1" applyBorder="1" applyAlignment="1" applyProtection="1">
      <alignment horizontal="left" indent="2"/>
      <protection hidden="1"/>
    </xf>
    <xf numFmtId="0" fontId="62" fillId="0" borderId="0" xfId="54" applyFont="1" applyBorder="1" applyAlignment="1" applyProtection="1">
      <alignment horizontal="center"/>
      <protection hidden="1"/>
    </xf>
    <xf numFmtId="0" fontId="15" fillId="0" borderId="4" xfId="54" applyFont="1" applyBorder="1" applyAlignment="1" applyProtection="1">
      <alignment vertical="top"/>
      <protection hidden="1"/>
    </xf>
    <xf numFmtId="0" fontId="15" fillId="0" borderId="0" xfId="54" applyFont="1" applyBorder="1" applyAlignment="1" applyProtection="1">
      <alignment horizontal="right" vertical="top" indent="1"/>
      <protection hidden="1"/>
    </xf>
    <xf numFmtId="0" fontId="15" fillId="0" borderId="0" xfId="54" applyFont="1" applyBorder="1" applyAlignment="1" applyProtection="1">
      <alignment horizontal="left" vertical="top"/>
      <protection hidden="1"/>
    </xf>
    <xf numFmtId="0" fontId="15" fillId="0" borderId="0" xfId="54" applyFont="1" applyBorder="1" applyAlignment="1" applyProtection="1">
      <alignment horizontal="center" vertical="top"/>
      <protection hidden="1"/>
    </xf>
    <xf numFmtId="0" fontId="15" fillId="0" borderId="0" xfId="54" applyFont="1" applyBorder="1" applyAlignment="1" applyProtection="1">
      <alignment vertical="top"/>
      <protection hidden="1"/>
    </xf>
    <xf numFmtId="0" fontId="15" fillId="0" borderId="5" xfId="54" applyFont="1" applyBorder="1" applyAlignment="1" applyProtection="1">
      <alignment vertical="top"/>
      <protection hidden="1"/>
    </xf>
    <xf numFmtId="0" fontId="15" fillId="0" borderId="0" xfId="54" applyFont="1" applyAlignment="1" applyProtection="1">
      <alignment vertical="top"/>
      <protection hidden="1"/>
    </xf>
    <xf numFmtId="0" fontId="15" fillId="0" borderId="0" xfId="54" applyFont="1" applyBorder="1" applyAlignment="1" applyProtection="1">
      <alignment horizontal="center"/>
      <protection hidden="1"/>
    </xf>
    <xf numFmtId="0" fontId="15" fillId="0" borderId="12" xfId="54" applyFont="1" applyBorder="1" applyAlignment="1" applyProtection="1">
      <alignment horizontal="center" vertical="center"/>
      <protection hidden="1"/>
    </xf>
    <xf numFmtId="0" fontId="15" fillId="0" borderId="0" xfId="54" applyFont="1" applyBorder="1" applyAlignment="1" applyProtection="1">
      <alignment horizontal="center" vertical="center"/>
      <protection hidden="1"/>
    </xf>
    <xf numFmtId="0" fontId="62" fillId="6" borderId="43" xfId="42" applyFont="1" applyFill="1" applyBorder="1" applyAlignment="1" applyProtection="1">
      <alignment horizontal="left" vertical="center"/>
      <protection hidden="1"/>
    </xf>
    <xf numFmtId="0" fontId="15" fillId="6" borderId="44" xfId="42" applyFont="1" applyFill="1" applyBorder="1" applyAlignment="1" applyProtection="1">
      <alignment horizontal="left" vertical="center"/>
      <protection hidden="1"/>
    </xf>
    <xf numFmtId="0" fontId="15" fillId="0" borderId="44" xfId="54" applyFont="1" applyBorder="1" applyAlignment="1" applyProtection="1">
      <alignment horizontal="center" vertical="center"/>
      <protection hidden="1"/>
    </xf>
    <xf numFmtId="0" fontId="15" fillId="0" borderId="17" xfId="54" applyFont="1" applyBorder="1" applyAlignment="1" applyProtection="1">
      <alignment horizontal="center" vertical="center"/>
      <protection hidden="1"/>
    </xf>
    <xf numFmtId="0" fontId="15" fillId="6" borderId="45" xfId="42" applyFont="1" applyFill="1" applyBorder="1" applyAlignment="1" applyProtection="1">
      <alignment horizontal="left" vertical="center"/>
      <protection hidden="1"/>
    </xf>
    <xf numFmtId="0" fontId="15" fillId="6" borderId="0" xfId="42" applyFont="1" applyFill="1" applyBorder="1" applyAlignment="1" applyProtection="1">
      <alignment horizontal="left" vertical="center"/>
      <protection hidden="1"/>
    </xf>
    <xf numFmtId="0" fontId="15" fillId="0" borderId="41" xfId="54" applyFont="1" applyBorder="1" applyAlignment="1" applyProtection="1">
      <alignment horizontal="center" vertical="center"/>
      <protection hidden="1"/>
    </xf>
    <xf numFmtId="0" fontId="15" fillId="0" borderId="0" xfId="54" applyFont="1" applyBorder="1" applyAlignment="1" applyProtection="1">
      <protection hidden="1"/>
    </xf>
    <xf numFmtId="0" fontId="15" fillId="6" borderId="46" xfId="42" applyFont="1" applyFill="1" applyBorder="1" applyAlignment="1" applyProtection="1">
      <alignment horizontal="left" vertical="center"/>
      <protection hidden="1"/>
    </xf>
    <xf numFmtId="0" fontId="15" fillId="6" borderId="47" xfId="42" applyFont="1" applyFill="1" applyBorder="1" applyAlignment="1" applyProtection="1">
      <alignment horizontal="left" vertical="center"/>
      <protection hidden="1"/>
    </xf>
    <xf numFmtId="0" fontId="15" fillId="0" borderId="47" xfId="54" applyFont="1" applyBorder="1" applyAlignment="1" applyProtection="1">
      <alignment horizontal="center" vertical="center"/>
      <protection hidden="1"/>
    </xf>
    <xf numFmtId="0" fontId="15" fillId="0" borderId="42" xfId="54" applyFont="1" applyBorder="1" applyAlignment="1" applyProtection="1">
      <alignment horizontal="left" vertical="center"/>
      <protection hidden="1"/>
    </xf>
    <xf numFmtId="1" fontId="62" fillId="6" borderId="11" xfId="42" applyNumberFormat="1" applyFont="1" applyFill="1" applyBorder="1" applyAlignment="1" applyProtection="1">
      <alignment horizontal="left" vertical="center"/>
      <protection hidden="1"/>
    </xf>
    <xf numFmtId="0" fontId="62" fillId="6" borderId="11" xfId="42" applyFont="1" applyFill="1" applyBorder="1" applyAlignment="1" applyProtection="1">
      <alignment vertical="center"/>
      <protection hidden="1"/>
    </xf>
    <xf numFmtId="0" fontId="15" fillId="0" borderId="56" xfId="54" applyFont="1" applyBorder="1" applyAlignment="1" applyProtection="1">
      <protection hidden="1"/>
    </xf>
    <xf numFmtId="0" fontId="15" fillId="6" borderId="56" xfId="42" applyFont="1" applyFill="1" applyBorder="1" applyAlignment="1" applyProtection="1">
      <alignment horizontal="left"/>
      <protection hidden="1"/>
    </xf>
    <xf numFmtId="0" fontId="15" fillId="0" borderId="56" xfId="54" applyFont="1" applyBorder="1" applyAlignment="1" applyProtection="1">
      <alignment horizontal="center"/>
      <protection hidden="1"/>
    </xf>
    <xf numFmtId="0" fontId="15" fillId="6" borderId="0" xfId="42" applyFont="1" applyFill="1" applyBorder="1" applyAlignment="1" applyProtection="1">
      <alignment horizontal="left"/>
      <protection hidden="1"/>
    </xf>
    <xf numFmtId="166" fontId="15" fillId="0" borderId="10" xfId="54" applyNumberFormat="1" applyFont="1" applyBorder="1" applyAlignment="1" applyProtection="1">
      <alignment horizontal="left" vertical="center"/>
      <protection hidden="1"/>
    </xf>
    <xf numFmtId="0" fontId="15" fillId="0" borderId="0" xfId="54" applyFont="1" applyBorder="1" applyAlignment="1" applyProtection="1">
      <alignment horizontal="left"/>
      <protection hidden="1"/>
    </xf>
    <xf numFmtId="0" fontId="15" fillId="0" borderId="0" xfId="42" applyNumberFormat="1" applyFont="1" applyFill="1" applyBorder="1" applyAlignment="1" applyProtection="1">
      <protection hidden="1"/>
    </xf>
    <xf numFmtId="0" fontId="15" fillId="0" borderId="0" xfId="42" applyFont="1" applyFill="1" applyBorder="1" applyAlignment="1" applyProtection="1">
      <protection hidden="1"/>
    </xf>
    <xf numFmtId="0" fontId="15" fillId="0" borderId="0" xfId="54" applyFont="1" applyBorder="1" applyAlignment="1" applyProtection="1">
      <alignment wrapText="1"/>
      <protection hidden="1"/>
    </xf>
    <xf numFmtId="0" fontId="15" fillId="0" borderId="0" xfId="54" applyFont="1" applyAlignment="1" applyProtection="1">
      <alignment wrapText="1"/>
      <protection hidden="1"/>
    </xf>
    <xf numFmtId="0" fontId="15" fillId="0" borderId="0" xfId="54" applyFont="1" applyBorder="1" applyAlignment="1" applyProtection="1">
      <alignment horizontal="left" wrapText="1"/>
      <protection hidden="1"/>
    </xf>
    <xf numFmtId="0" fontId="15" fillId="0" borderId="56" xfId="54" applyFont="1" applyBorder="1" applyProtection="1">
      <protection hidden="1"/>
    </xf>
    <xf numFmtId="0" fontId="15" fillId="0" borderId="0" xfId="54" applyFont="1" applyBorder="1" applyAlignment="1" applyProtection="1">
      <alignment vertical="center"/>
      <protection hidden="1"/>
    </xf>
    <xf numFmtId="0" fontId="62" fillId="0" borderId="10" xfId="54" applyFont="1" applyBorder="1" applyAlignment="1" applyProtection="1">
      <alignment vertical="center"/>
      <protection hidden="1"/>
    </xf>
    <xf numFmtId="0" fontId="46" fillId="2" borderId="10" xfId="0" applyFont="1" applyFill="1" applyBorder="1" applyAlignment="1">
      <alignment horizontal="left"/>
    </xf>
    <xf numFmtId="0" fontId="65" fillId="2" borderId="9" xfId="0" applyFont="1" applyFill="1" applyBorder="1" applyAlignment="1">
      <alignment horizontal="left"/>
    </xf>
    <xf numFmtId="0" fontId="67" fillId="0" borderId="4" xfId="0" applyFont="1" applyBorder="1" applyAlignment="1" applyProtection="1">
      <alignment vertical="center"/>
      <protection hidden="1"/>
    </xf>
    <xf numFmtId="0" fontId="67" fillId="0" borderId="0" xfId="54" applyFont="1" applyBorder="1" applyProtection="1">
      <protection hidden="1"/>
    </xf>
    <xf numFmtId="0" fontId="67" fillId="0" borderId="5" xfId="0" applyFont="1" applyBorder="1" applyAlignment="1" applyProtection="1">
      <alignment vertical="center"/>
      <protection hidden="1"/>
    </xf>
    <xf numFmtId="0" fontId="67" fillId="0" borderId="0" xfId="54" applyFont="1" applyProtection="1">
      <protection hidden="1"/>
    </xf>
    <xf numFmtId="0" fontId="67" fillId="0" borderId="4" xfId="54" applyFont="1" applyBorder="1" applyProtection="1">
      <protection hidden="1"/>
    </xf>
    <xf numFmtId="0" fontId="66" fillId="0" borderId="0" xfId="54" applyFont="1" applyBorder="1" applyAlignment="1" applyProtection="1">
      <alignment vertical="center"/>
      <protection hidden="1"/>
    </xf>
    <xf numFmtId="0" fontId="67" fillId="0" borderId="5" xfId="54" applyFont="1" applyBorder="1" applyProtection="1">
      <protection hidden="1"/>
    </xf>
    <xf numFmtId="166" fontId="68" fillId="0" borderId="0" xfId="54" quotePrefix="1" applyNumberFormat="1" applyFont="1" applyBorder="1" applyAlignment="1" applyProtection="1">
      <alignment horizontal="left" wrapText="1"/>
      <protection hidden="1"/>
    </xf>
    <xf numFmtId="0" fontId="48" fillId="6" borderId="58" xfId="42" applyNumberFormat="1" applyFont="1" applyFill="1" applyBorder="1" applyAlignment="1" applyProtection="1">
      <alignment horizontal="left"/>
      <protection locked="0"/>
    </xf>
    <xf numFmtId="0" fontId="57" fillId="6" borderId="48" xfId="42" applyFont="1" applyFill="1" applyBorder="1" applyProtection="1">
      <protection hidden="1"/>
    </xf>
    <xf numFmtId="0" fontId="56" fillId="6" borderId="65" xfId="42" applyFont="1" applyFill="1" applyBorder="1" applyProtection="1">
      <protection hidden="1"/>
    </xf>
    <xf numFmtId="0" fontId="51" fillId="6" borderId="0" xfId="42" applyFont="1" applyFill="1" applyBorder="1" applyAlignment="1" applyProtection="1">
      <alignment horizontal="centerContinuous" vertical="center"/>
      <protection hidden="1"/>
    </xf>
    <xf numFmtId="0" fontId="48" fillId="6" borderId="0" xfId="42" applyFont="1" applyFill="1" applyBorder="1" applyAlignment="1" applyProtection="1">
      <alignment horizontal="centerContinuous" vertical="center"/>
      <protection hidden="1"/>
    </xf>
    <xf numFmtId="0" fontId="26" fillId="6" borderId="0" xfId="42" applyFill="1" applyBorder="1" applyAlignment="1" applyProtection="1">
      <alignment horizontal="centerContinuous" vertical="center"/>
      <protection hidden="1"/>
    </xf>
    <xf numFmtId="0" fontId="51" fillId="6" borderId="0" xfId="42" applyFont="1" applyFill="1" applyBorder="1" applyAlignment="1" applyProtection="1">
      <alignment horizontal="centerContinuous" vertical="center" wrapText="1"/>
      <protection hidden="1"/>
    </xf>
    <xf numFmtId="0" fontId="49" fillId="6" borderId="0" xfId="42" applyFont="1" applyFill="1" applyBorder="1" applyAlignment="1" applyProtection="1">
      <alignment horizontal="centerContinuous" vertical="center"/>
      <protection hidden="1"/>
    </xf>
    <xf numFmtId="0" fontId="26" fillId="0" borderId="0" xfId="42" applyBorder="1" applyAlignment="1" applyProtection="1">
      <alignment horizontal="centerContinuous" vertical="center"/>
      <protection hidden="1"/>
    </xf>
    <xf numFmtId="0" fontId="49" fillId="6" borderId="50" xfId="42" applyFont="1" applyFill="1" applyBorder="1" applyAlignment="1" applyProtection="1">
      <alignment horizontal="centerContinuous" vertical="center"/>
      <protection hidden="1"/>
    </xf>
    <xf numFmtId="0" fontId="26" fillId="0" borderId="0" xfId="42" applyAlignment="1" applyProtection="1">
      <protection hidden="1"/>
    </xf>
    <xf numFmtId="0" fontId="58" fillId="0" borderId="0" xfId="42" applyFont="1" applyProtection="1">
      <protection hidden="1"/>
    </xf>
    <xf numFmtId="166" fontId="48" fillId="6" borderId="63" xfId="42" applyNumberFormat="1" applyFont="1" applyFill="1" applyBorder="1" applyAlignment="1" applyProtection="1">
      <alignment horizontal="left"/>
      <protection hidden="1"/>
    </xf>
    <xf numFmtId="0" fontId="48" fillId="6" borderId="59" xfId="42" applyFont="1" applyFill="1" applyBorder="1" applyAlignment="1" applyProtection="1">
      <alignment horizontal="left" wrapText="1"/>
      <protection hidden="1"/>
    </xf>
    <xf numFmtId="0" fontId="26" fillId="0" borderId="0" xfId="42" applyFont="1" applyBorder="1" applyAlignment="1" applyProtection="1">
      <alignment horizontal="left" vertical="top" wrapText="1"/>
      <protection hidden="1"/>
    </xf>
    <xf numFmtId="166" fontId="48" fillId="6" borderId="74" xfId="42" applyNumberFormat="1" applyFont="1" applyFill="1" applyBorder="1" applyAlignment="1" applyProtection="1">
      <alignment horizontal="left"/>
      <protection hidden="1"/>
    </xf>
    <xf numFmtId="166" fontId="48" fillId="6" borderId="62" xfId="42" applyNumberFormat="1" applyFont="1" applyFill="1" applyBorder="1" applyAlignment="1" applyProtection="1">
      <alignment horizontal="left"/>
      <protection hidden="1"/>
    </xf>
    <xf numFmtId="166" fontId="48" fillId="6" borderId="0" xfId="42" applyNumberFormat="1" applyFont="1" applyFill="1" applyBorder="1" applyAlignment="1" applyProtection="1">
      <alignment horizontal="left"/>
      <protection hidden="1"/>
    </xf>
    <xf numFmtId="0" fontId="48" fillId="6" borderId="68" xfId="42" applyFont="1" applyFill="1" applyBorder="1" applyAlignment="1" applyProtection="1">
      <alignment horizontal="left"/>
      <protection hidden="1"/>
    </xf>
    <xf numFmtId="0" fontId="48" fillId="6" borderId="56" xfId="42" applyFont="1" applyFill="1" applyBorder="1" applyAlignment="1" applyProtection="1">
      <alignment horizontal="left"/>
      <protection hidden="1"/>
    </xf>
    <xf numFmtId="0" fontId="48" fillId="6" borderId="56" xfId="42" applyFont="1" applyFill="1" applyBorder="1" applyAlignment="1" applyProtection="1">
      <protection hidden="1"/>
    </xf>
    <xf numFmtId="166" fontId="48" fillId="6" borderId="56" xfId="42" applyNumberFormat="1" applyFont="1" applyFill="1" applyBorder="1" applyAlignment="1" applyProtection="1">
      <alignment horizontal="left"/>
      <protection hidden="1"/>
    </xf>
    <xf numFmtId="0" fontId="48" fillId="6" borderId="69" xfId="42" applyFont="1" applyFill="1" applyBorder="1" applyAlignment="1" applyProtection="1">
      <alignment horizontal="left"/>
      <protection hidden="1"/>
    </xf>
    <xf numFmtId="0" fontId="48" fillId="6" borderId="49" xfId="42" applyFont="1" applyFill="1" applyBorder="1" applyAlignment="1" applyProtection="1">
      <alignment horizontal="left" vertical="center"/>
      <protection hidden="1"/>
    </xf>
    <xf numFmtId="0" fontId="48" fillId="6" borderId="0" xfId="42" applyFont="1" applyFill="1" applyBorder="1" applyAlignment="1" applyProtection="1">
      <alignment horizontal="left" vertical="center"/>
      <protection hidden="1"/>
    </xf>
    <xf numFmtId="0" fontId="48" fillId="6" borderId="0" xfId="42" applyFont="1" applyFill="1" applyBorder="1" applyAlignment="1" applyProtection="1">
      <alignment vertical="center"/>
      <protection hidden="1"/>
    </xf>
    <xf numFmtId="0" fontId="48" fillId="6" borderId="50" xfId="42" applyFont="1" applyFill="1" applyBorder="1" applyAlignment="1" applyProtection="1">
      <alignment horizontal="left" vertical="center"/>
      <protection hidden="1"/>
    </xf>
    <xf numFmtId="0" fontId="48" fillId="6" borderId="63" xfId="42" applyFont="1" applyFill="1" applyBorder="1" applyAlignment="1" applyProtection="1">
      <alignment vertical="center"/>
      <protection hidden="1"/>
    </xf>
    <xf numFmtId="0" fontId="48" fillId="6" borderId="64" xfId="42" applyFont="1" applyFill="1" applyBorder="1" applyAlignment="1" applyProtection="1">
      <alignment vertical="center"/>
      <protection hidden="1"/>
    </xf>
    <xf numFmtId="0" fontId="48" fillId="6" borderId="58" xfId="42" applyFont="1" applyFill="1" applyBorder="1" applyAlignment="1" applyProtection="1">
      <alignment vertical="center"/>
      <protection hidden="1"/>
    </xf>
    <xf numFmtId="166" fontId="48" fillId="6" borderId="58" xfId="42" applyNumberFormat="1" applyFont="1" applyFill="1" applyBorder="1" applyAlignment="1" applyProtection="1">
      <alignment vertical="center"/>
      <protection hidden="1"/>
    </xf>
    <xf numFmtId="0" fontId="48" fillId="6" borderId="20" xfId="42" applyFont="1" applyFill="1" applyBorder="1" applyAlignment="1" applyProtection="1">
      <alignment vertical="center"/>
      <protection hidden="1"/>
    </xf>
    <xf numFmtId="0" fontId="48" fillId="6" borderId="48" xfId="42" applyFont="1" applyFill="1" applyBorder="1" applyAlignment="1" applyProtection="1">
      <alignment vertical="center"/>
      <protection hidden="1"/>
    </xf>
    <xf numFmtId="166" fontId="48" fillId="6" borderId="48" xfId="42" applyNumberFormat="1" applyFont="1" applyFill="1" applyBorder="1" applyAlignment="1" applyProtection="1">
      <alignment vertical="center"/>
      <protection hidden="1"/>
    </xf>
    <xf numFmtId="0" fontId="48" fillId="6" borderId="60" xfId="42" applyFont="1" applyFill="1" applyBorder="1" applyAlignment="1" applyProtection="1">
      <alignment horizontal="center" wrapText="1"/>
      <protection hidden="1"/>
    </xf>
    <xf numFmtId="0" fontId="48" fillId="6" borderId="61" xfId="42" applyFont="1" applyFill="1" applyBorder="1" applyAlignment="1" applyProtection="1">
      <alignment horizontal="center" wrapText="1"/>
      <protection hidden="1"/>
    </xf>
    <xf numFmtId="0" fontId="48" fillId="6" borderId="62" xfId="42" applyFont="1" applyFill="1" applyBorder="1" applyAlignment="1" applyProtection="1">
      <alignment horizontal="center" wrapText="1"/>
      <protection hidden="1"/>
    </xf>
    <xf numFmtId="166" fontId="48" fillId="0" borderId="65" xfId="42" applyNumberFormat="1" applyFont="1" applyFill="1" applyBorder="1" applyAlignment="1" applyProtection="1">
      <alignment horizontal="center" wrapText="1"/>
      <protection hidden="1"/>
    </xf>
    <xf numFmtId="0" fontId="48" fillId="31" borderId="70" xfId="42" applyFont="1" applyFill="1" applyBorder="1" applyAlignment="1" applyProtection="1">
      <alignment horizontal="center"/>
      <protection hidden="1"/>
    </xf>
    <xf numFmtId="0" fontId="48" fillId="31" borderId="75" xfId="42" applyFont="1" applyFill="1" applyBorder="1" applyAlignment="1" applyProtection="1">
      <alignment horizontal="center"/>
      <protection hidden="1"/>
    </xf>
    <xf numFmtId="0" fontId="48" fillId="31" borderId="71" xfId="42" applyFont="1" applyFill="1" applyBorder="1" applyAlignment="1" applyProtection="1">
      <alignment horizontal="center"/>
      <protection hidden="1"/>
    </xf>
    <xf numFmtId="0" fontId="48" fillId="31" borderId="70" xfId="42" applyFont="1" applyFill="1" applyBorder="1" applyAlignment="1" applyProtection="1">
      <alignment horizontal="center" wrapText="1"/>
      <protection hidden="1"/>
    </xf>
    <xf numFmtId="0" fontId="48" fillId="31" borderId="71" xfId="42" applyFont="1" applyFill="1" applyBorder="1" applyAlignment="1" applyProtection="1">
      <alignment horizontal="center" wrapText="1"/>
      <protection hidden="1"/>
    </xf>
    <xf numFmtId="166" fontId="48" fillId="0" borderId="71" xfId="42" applyNumberFormat="1" applyFont="1" applyFill="1" applyBorder="1" applyAlignment="1" applyProtection="1">
      <alignment horizontal="center" wrapText="1"/>
      <protection hidden="1"/>
    </xf>
    <xf numFmtId="166" fontId="48" fillId="0" borderId="54" xfId="42" applyNumberFormat="1" applyFont="1" applyFill="1" applyBorder="1" applyAlignment="1" applyProtection="1">
      <alignment horizontal="center" wrapText="1"/>
      <protection hidden="1"/>
    </xf>
    <xf numFmtId="0" fontId="53" fillId="6" borderId="0" xfId="42" applyFont="1" applyFill="1" applyBorder="1" applyAlignment="1" applyProtection="1">
      <alignment horizontal="center" vertical="center"/>
      <protection hidden="1"/>
    </xf>
    <xf numFmtId="0" fontId="48" fillId="6" borderId="49" xfId="42" applyFont="1" applyFill="1" applyBorder="1" applyAlignment="1" applyProtection="1">
      <alignment vertical="center"/>
      <protection hidden="1"/>
    </xf>
    <xf numFmtId="0" fontId="55" fillId="6" borderId="53" xfId="42" applyFont="1" applyFill="1" applyBorder="1" applyAlignment="1" applyProtection="1">
      <alignment horizontal="centerContinuous" vertical="center"/>
      <protection hidden="1"/>
    </xf>
    <xf numFmtId="0" fontId="26" fillId="0" borderId="53" xfId="42" applyFont="1" applyBorder="1" applyAlignment="1" applyProtection="1">
      <alignment horizontal="centerContinuous" vertical="center"/>
      <protection hidden="1"/>
    </xf>
    <xf numFmtId="0" fontId="48" fillId="6" borderId="52" xfId="42" applyFont="1" applyFill="1" applyBorder="1" applyAlignment="1" applyProtection="1">
      <alignment horizontal="left" wrapText="1"/>
      <protection hidden="1"/>
    </xf>
    <xf numFmtId="170" fontId="48" fillId="6" borderId="53" xfId="42" applyNumberFormat="1" applyFont="1" applyFill="1" applyBorder="1" applyAlignment="1" applyProtection="1">
      <alignment horizontal="left" wrapText="1"/>
      <protection hidden="1"/>
    </xf>
    <xf numFmtId="0" fontId="26" fillId="0" borderId="53" xfId="42" applyBorder="1" applyProtection="1">
      <protection hidden="1"/>
    </xf>
    <xf numFmtId="0" fontId="48" fillId="6" borderId="53" xfId="42" applyFont="1" applyFill="1" applyBorder="1" applyAlignment="1" applyProtection="1">
      <alignment horizontal="left" wrapText="1"/>
      <protection hidden="1"/>
    </xf>
    <xf numFmtId="0" fontId="26" fillId="0" borderId="58" xfId="42" applyFont="1" applyBorder="1" applyProtection="1">
      <protection hidden="1"/>
    </xf>
    <xf numFmtId="1" fontId="26" fillId="0" borderId="64" xfId="42" applyNumberFormat="1" applyFont="1" applyBorder="1" applyAlignment="1" applyProtection="1">
      <alignment horizontal="left"/>
      <protection hidden="1"/>
    </xf>
    <xf numFmtId="166" fontId="26" fillId="0" borderId="64" xfId="42" applyNumberFormat="1" applyFont="1" applyBorder="1" applyAlignment="1" applyProtection="1">
      <alignment horizontal="left"/>
      <protection hidden="1"/>
    </xf>
    <xf numFmtId="0" fontId="26" fillId="0" borderId="0" xfId="45" applyAlignment="1" applyProtection="1">
      <alignment horizontal="left" wrapText="1"/>
      <protection hidden="1"/>
    </xf>
    <xf numFmtId="0" fontId="26" fillId="0" borderId="0" xfId="45" applyBorder="1" applyAlignment="1" applyProtection="1">
      <alignment horizontal="center"/>
      <protection hidden="1"/>
    </xf>
    <xf numFmtId="0" fontId="26" fillId="0" borderId="0" xfId="45" applyBorder="1" applyProtection="1">
      <protection hidden="1"/>
    </xf>
    <xf numFmtId="0" fontId="26" fillId="0" borderId="0" xfId="45" applyBorder="1" applyAlignment="1" applyProtection="1">
      <alignment horizontal="left" shrinkToFit="1"/>
      <protection hidden="1"/>
    </xf>
    <xf numFmtId="0" fontId="54" fillId="0" borderId="0" xfId="45" applyFont="1" applyBorder="1" applyAlignment="1" applyProtection="1">
      <alignment horizontal="center" wrapText="1"/>
      <protection hidden="1"/>
    </xf>
    <xf numFmtId="0" fontId="26" fillId="0" borderId="0" xfId="45" quotePrefix="1" applyBorder="1" applyAlignment="1" applyProtection="1">
      <alignment horizontal="center"/>
      <protection hidden="1"/>
    </xf>
    <xf numFmtId="0" fontId="26" fillId="6" borderId="49" xfId="42" applyFont="1" applyFill="1" applyBorder="1" applyAlignment="1" applyProtection="1">
      <alignment horizontal="left" vertical="center" wrapText="1"/>
      <protection hidden="1"/>
    </xf>
    <xf numFmtId="0" fontId="26" fillId="0" borderId="0" xfId="45" applyFont="1" applyFill="1" applyBorder="1" applyAlignment="1" applyProtection="1">
      <alignment horizontal="left" vertical="center"/>
      <protection hidden="1"/>
    </xf>
    <xf numFmtId="0" fontId="26" fillId="0" borderId="0" xfId="45" applyFont="1" applyFill="1" applyBorder="1" applyAlignment="1" applyProtection="1">
      <protection hidden="1"/>
    </xf>
    <xf numFmtId="0" fontId="26" fillId="31" borderId="53" xfId="45" applyFill="1" applyBorder="1" applyAlignment="1" applyProtection="1">
      <alignment horizontal="left" wrapText="1"/>
      <protection hidden="1"/>
    </xf>
    <xf numFmtId="0" fontId="0" fillId="0" borderId="1" xfId="0" applyBorder="1" applyAlignment="1" applyProtection="1">
      <alignment vertical="center"/>
      <protection locked="0" hidden="1"/>
    </xf>
    <xf numFmtId="0" fontId="0" fillId="0" borderId="6" xfId="0" applyBorder="1" applyProtection="1">
      <protection hidden="1"/>
    </xf>
    <xf numFmtId="0" fontId="0" fillId="0" borderId="7" xfId="0" applyBorder="1" applyProtection="1">
      <protection locked="0" hidden="1"/>
    </xf>
    <xf numFmtId="0" fontId="0" fillId="0" borderId="18" xfId="0" applyFill="1" applyBorder="1"/>
    <xf numFmtId="0" fontId="0" fillId="0" borderId="1" xfId="0" applyFont="1" applyBorder="1" applyAlignment="1" applyProtection="1">
      <alignment vertical="center"/>
      <protection locked="0" hidden="1"/>
    </xf>
    <xf numFmtId="0" fontId="0" fillId="0" borderId="8" xfId="0" applyFont="1" applyBorder="1" applyProtection="1">
      <protection locked="0"/>
    </xf>
    <xf numFmtId="0" fontId="63" fillId="0" borderId="1" xfId="0" applyFont="1" applyBorder="1" applyProtection="1">
      <protection locked="0" hidden="1"/>
    </xf>
    <xf numFmtId="0" fontId="15" fillId="0" borderId="56" xfId="54" applyFont="1" applyBorder="1" applyProtection="1">
      <protection locked="0" hidden="1"/>
    </xf>
    <xf numFmtId="0" fontId="50" fillId="6" borderId="51" xfId="42" applyFont="1" applyFill="1" applyBorder="1" applyAlignment="1" applyProtection="1">
      <alignment horizontal="left"/>
      <protection locked="0" hidden="1"/>
    </xf>
    <xf numFmtId="0" fontId="26" fillId="6" borderId="51" xfId="42" applyFont="1" applyFill="1" applyBorder="1" applyAlignment="1" applyProtection="1">
      <alignment horizontal="left"/>
      <protection locked="0"/>
    </xf>
    <xf numFmtId="49" fontId="0" fillId="0" borderId="0" xfId="0" applyNumberFormat="1" applyBorder="1" applyAlignment="1" applyProtection="1">
      <alignment horizontal="left" vertical="center" indent="1"/>
      <protection hidden="1"/>
    </xf>
    <xf numFmtId="0" fontId="0" fillId="0" borderId="9" xfId="0" applyBorder="1" applyAlignment="1" applyProtection="1">
      <alignment horizontal="left" vertical="center" indent="1"/>
      <protection hidden="1"/>
    </xf>
    <xf numFmtId="0" fontId="39" fillId="0" borderId="0" xfId="0" applyFont="1" applyAlignment="1" applyProtection="1">
      <protection hidden="1"/>
    </xf>
    <xf numFmtId="0" fontId="39" fillId="0" borderId="0" xfId="0" applyFont="1" applyAlignment="1" applyProtection="1">
      <alignment horizontal="center"/>
      <protection hidden="1"/>
    </xf>
    <xf numFmtId="0" fontId="16" fillId="0" borderId="0" xfId="3"/>
    <xf numFmtId="0" fontId="1" fillId="0" borderId="0" xfId="3" applyFont="1" applyAlignment="1">
      <alignment horizontal="center"/>
    </xf>
    <xf numFmtId="0" fontId="1" fillId="0" borderId="0" xfId="3" applyFont="1"/>
    <xf numFmtId="0" fontId="16" fillId="0" borderId="0" xfId="3" applyAlignment="1">
      <alignment horizontal="center"/>
    </xf>
    <xf numFmtId="9" fontId="16" fillId="0" borderId="0" xfId="3" applyNumberFormat="1" applyAlignment="1">
      <alignment horizontal="center"/>
    </xf>
    <xf numFmtId="0" fontId="16" fillId="0" borderId="43" xfId="3" applyBorder="1"/>
    <xf numFmtId="0" fontId="16" fillId="0" borderId="17" xfId="3" applyBorder="1"/>
    <xf numFmtId="0" fontId="16" fillId="0" borderId="45" xfId="3" applyBorder="1"/>
    <xf numFmtId="0" fontId="16" fillId="0" borderId="41" xfId="3" applyBorder="1"/>
    <xf numFmtId="0" fontId="16" fillId="0" borderId="45" xfId="3" applyFont="1" applyBorder="1" applyAlignment="1">
      <alignment horizontal="center" vertical="center"/>
    </xf>
    <xf numFmtId="0" fontId="16" fillId="0" borderId="41" xfId="3" applyFont="1" applyBorder="1" applyAlignment="1">
      <alignment horizontal="center" vertical="center"/>
    </xf>
    <xf numFmtId="0" fontId="16" fillId="0" borderId="46" xfId="3" applyBorder="1" applyAlignment="1">
      <alignment vertical="center"/>
    </xf>
    <xf numFmtId="0" fontId="16" fillId="0" borderId="42" xfId="3" applyBorder="1" applyAlignment="1">
      <alignment vertical="center"/>
    </xf>
    <xf numFmtId="0" fontId="1" fillId="2" borderId="9" xfId="3" applyFont="1" applyFill="1" applyBorder="1" applyAlignment="1">
      <alignment horizontal="left" vertical="center"/>
    </xf>
    <xf numFmtId="0" fontId="1" fillId="2" borderId="12" xfId="3" applyFont="1" applyFill="1" applyBorder="1" applyAlignment="1">
      <alignment horizontal="left" vertical="center"/>
    </xf>
    <xf numFmtId="0" fontId="1" fillId="2" borderId="10" xfId="3" applyFont="1" applyFill="1" applyBorder="1" applyAlignment="1">
      <alignment horizontal="left" vertical="center"/>
    </xf>
    <xf numFmtId="0" fontId="16" fillId="0" borderId="40" xfId="3" applyBorder="1"/>
    <xf numFmtId="0" fontId="16" fillId="0" borderId="0" xfId="3" applyFont="1" applyAlignment="1">
      <alignment horizontal="center" vertical="center"/>
    </xf>
    <xf numFmtId="0" fontId="16" fillId="0" borderId="9" xfId="3" applyFill="1" applyBorder="1" applyAlignment="1"/>
    <xf numFmtId="0" fontId="16" fillId="0" borderId="12" xfId="3" applyFill="1" applyBorder="1" applyAlignment="1">
      <alignment horizontal="left"/>
    </xf>
    <xf numFmtId="0" fontId="16" fillId="0" borderId="10" xfId="3" applyFill="1" applyBorder="1" applyAlignment="1">
      <alignment horizontal="left"/>
    </xf>
    <xf numFmtId="0" fontId="16" fillId="0" borderId="18" xfId="3" applyFont="1" applyBorder="1" applyAlignment="1">
      <alignment horizontal="center" vertical="center"/>
    </xf>
    <xf numFmtId="0" fontId="16" fillId="0" borderId="18" xfId="3" applyBorder="1"/>
    <xf numFmtId="0" fontId="16" fillId="0" borderId="0" xfId="3" applyAlignment="1">
      <alignment vertical="center"/>
    </xf>
    <xf numFmtId="0" fontId="16" fillId="0" borderId="18" xfId="3" applyBorder="1" applyAlignment="1">
      <alignment vertical="center"/>
    </xf>
    <xf numFmtId="0" fontId="1" fillId="32" borderId="11" xfId="3" applyFont="1" applyFill="1" applyBorder="1" applyAlignment="1">
      <alignment horizontal="center" vertical="top"/>
    </xf>
    <xf numFmtId="0" fontId="16" fillId="0" borderId="9" xfId="3" applyFill="1" applyBorder="1" applyAlignment="1">
      <alignment horizontal="left" indent="1"/>
    </xf>
    <xf numFmtId="0" fontId="2" fillId="0" borderId="9" xfId="1" applyFill="1" applyBorder="1" applyAlignment="1" applyProtection="1">
      <alignment horizontal="left" indent="1"/>
    </xf>
    <xf numFmtId="0" fontId="1" fillId="2" borderId="9" xfId="3" applyFont="1" applyFill="1" applyBorder="1" applyAlignment="1">
      <alignment horizontal="left"/>
    </xf>
    <xf numFmtId="0" fontId="1" fillId="2" borderId="10" xfId="3" applyFont="1" applyFill="1" applyBorder="1" applyAlignment="1">
      <alignment horizontal="left"/>
    </xf>
    <xf numFmtId="0" fontId="16" fillId="0" borderId="9" xfId="3" applyBorder="1" applyAlignment="1">
      <alignment horizontal="left"/>
    </xf>
    <xf numFmtId="0" fontId="16" fillId="0" borderId="12" xfId="3" applyBorder="1"/>
    <xf numFmtId="0" fontId="16" fillId="0" borderId="10" xfId="3" applyBorder="1"/>
    <xf numFmtId="0" fontId="16" fillId="0" borderId="43" xfId="3" applyBorder="1" applyAlignment="1">
      <alignment horizontal="left"/>
    </xf>
    <xf numFmtId="0" fontId="16" fillId="0" borderId="44" xfId="3" applyBorder="1"/>
    <xf numFmtId="0" fontId="16" fillId="0" borderId="46" xfId="3" applyBorder="1" applyAlignment="1">
      <alignment horizontal="left"/>
    </xf>
    <xf numFmtId="0" fontId="16" fillId="0" borderId="47" xfId="3" applyBorder="1"/>
    <xf numFmtId="0" fontId="16" fillId="0" borderId="42" xfId="3" applyBorder="1"/>
    <xf numFmtId="0" fontId="16" fillId="4" borderId="43" xfId="3" applyFill="1" applyBorder="1" applyAlignment="1">
      <alignment horizontal="left" indent="2"/>
    </xf>
    <xf numFmtId="0" fontId="16" fillId="4" borderId="44" xfId="3" applyFill="1" applyBorder="1" applyAlignment="1">
      <alignment horizontal="left"/>
    </xf>
    <xf numFmtId="0" fontId="16" fillId="4" borderId="17" xfId="3" applyFill="1" applyBorder="1" applyAlignment="1">
      <alignment horizontal="left"/>
    </xf>
    <xf numFmtId="0" fontId="16" fillId="4" borderId="46" xfId="3" applyFill="1" applyBorder="1" applyAlignment="1">
      <alignment horizontal="left" indent="3"/>
    </xf>
    <xf numFmtId="0" fontId="16" fillId="4" borderId="47" xfId="3" applyFill="1" applyBorder="1" applyAlignment="1"/>
    <xf numFmtId="0" fontId="16" fillId="4" borderId="42" xfId="3" applyFill="1" applyBorder="1" applyAlignment="1"/>
    <xf numFmtId="0" fontId="16" fillId="5" borderId="9" xfId="3" applyFill="1" applyBorder="1" applyAlignment="1" applyProtection="1">
      <alignment horizontal="left" vertical="center" indent="2"/>
      <protection locked="0" hidden="1"/>
    </xf>
    <xf numFmtId="0" fontId="16" fillId="5" borderId="12" xfId="3" applyFont="1" applyFill="1" applyBorder="1" applyAlignment="1" applyProtection="1">
      <alignment horizontal="left" vertical="center"/>
      <protection locked="0" hidden="1"/>
    </xf>
    <xf numFmtId="0" fontId="16" fillId="5" borderId="10" xfId="3" applyFont="1" applyFill="1" applyBorder="1" applyAlignment="1" applyProtection="1">
      <alignment horizontal="left" vertical="center"/>
      <protection locked="0" hidden="1"/>
    </xf>
    <xf numFmtId="0" fontId="16" fillId="3" borderId="43" xfId="3" applyFill="1" applyBorder="1" applyAlignment="1" applyProtection="1">
      <alignment horizontal="left" vertical="center" indent="2"/>
      <protection hidden="1"/>
    </xf>
    <xf numFmtId="0" fontId="16" fillId="3" borderId="44" xfId="3" applyFont="1" applyFill="1" applyBorder="1" applyAlignment="1" applyProtection="1">
      <alignment horizontal="left" vertical="center"/>
      <protection hidden="1"/>
    </xf>
    <xf numFmtId="0" fontId="16" fillId="3" borderId="17" xfId="3" applyFont="1" applyFill="1" applyBorder="1" applyAlignment="1" applyProtection="1">
      <alignment horizontal="left" vertical="center"/>
      <protection hidden="1"/>
    </xf>
    <xf numFmtId="0" fontId="16" fillId="3" borderId="46" xfId="3" applyFill="1" applyBorder="1" applyAlignment="1" applyProtection="1">
      <alignment horizontal="left" vertical="center" indent="2"/>
      <protection hidden="1"/>
    </xf>
    <xf numFmtId="0" fontId="16" fillId="3" borderId="47" xfId="3" applyFont="1" applyFill="1" applyBorder="1" applyAlignment="1" applyProtection="1">
      <alignment horizontal="left" vertical="center"/>
      <protection hidden="1"/>
    </xf>
    <xf numFmtId="0" fontId="16" fillId="3" borderId="42" xfId="3" applyFont="1" applyFill="1" applyBorder="1" applyAlignment="1" applyProtection="1">
      <alignment horizontal="left" vertical="center"/>
      <protection hidden="1"/>
    </xf>
    <xf numFmtId="0" fontId="16" fillId="0" borderId="44" xfId="3" applyFont="1" applyFill="1" applyBorder="1" applyAlignment="1" applyProtection="1">
      <alignment horizontal="left" vertical="center"/>
      <protection hidden="1"/>
    </xf>
    <xf numFmtId="0" fontId="16" fillId="0" borderId="17" xfId="3" applyFont="1" applyFill="1" applyBorder="1" applyAlignment="1" applyProtection="1">
      <alignment horizontal="left" vertical="center"/>
      <protection hidden="1"/>
    </xf>
    <xf numFmtId="0" fontId="16" fillId="0" borderId="46" xfId="3" applyBorder="1" applyAlignment="1">
      <alignment horizontal="left" indent="1"/>
    </xf>
    <xf numFmtId="0" fontId="16" fillId="0" borderId="47" xfId="3" applyFont="1" applyFill="1" applyBorder="1" applyAlignment="1" applyProtection="1">
      <alignment horizontal="left" vertical="center"/>
      <protection hidden="1"/>
    </xf>
    <xf numFmtId="0" fontId="16" fillId="0" borderId="42" xfId="3" applyFont="1" applyFill="1" applyBorder="1" applyAlignment="1" applyProtection="1">
      <alignment horizontal="left" vertical="center"/>
      <protection hidden="1"/>
    </xf>
    <xf numFmtId="0" fontId="16" fillId="0" borderId="12" xfId="3" applyFont="1" applyFill="1" applyBorder="1" applyAlignment="1" applyProtection="1">
      <alignment horizontal="left" vertical="center"/>
      <protection hidden="1"/>
    </xf>
    <xf numFmtId="0" fontId="16" fillId="0" borderId="10" xfId="3" applyFont="1" applyFill="1" applyBorder="1" applyAlignment="1" applyProtection="1">
      <alignment horizontal="left" vertical="center"/>
      <protection hidden="1"/>
    </xf>
    <xf numFmtId="0" fontId="16" fillId="0" borderId="45" xfId="3" applyBorder="1" applyAlignment="1">
      <alignment horizontal="left" indent="2"/>
    </xf>
    <xf numFmtId="0" fontId="1" fillId="0" borderId="44" xfId="3" applyFont="1" applyBorder="1"/>
    <xf numFmtId="0" fontId="1" fillId="0" borderId="17" xfId="3" applyFont="1" applyBorder="1"/>
    <xf numFmtId="0" fontId="16" fillId="0" borderId="46" xfId="3" applyBorder="1" applyAlignment="1">
      <alignment horizontal="left" indent="2"/>
    </xf>
    <xf numFmtId="0" fontId="1" fillId="0" borderId="47" xfId="3" applyFont="1" applyBorder="1"/>
    <xf numFmtId="0" fontId="1" fillId="0" borderId="42" xfId="3" applyFont="1" applyBorder="1"/>
    <xf numFmtId="0" fontId="45" fillId="0" borderId="19" xfId="0" applyFont="1" applyBorder="1" applyAlignment="1" applyProtection="1">
      <alignment vertical="center" wrapText="1"/>
      <protection hidden="1"/>
    </xf>
    <xf numFmtId="0" fontId="45" fillId="0" borderId="18" xfId="0" applyFont="1" applyBorder="1" applyAlignment="1" applyProtection="1">
      <alignment vertical="center"/>
      <protection hidden="1"/>
    </xf>
    <xf numFmtId="0" fontId="44" fillId="0" borderId="43" xfId="0" applyFont="1" applyBorder="1" applyAlignment="1" applyProtection="1">
      <alignment horizontal="left" vertical="center" indent="5"/>
      <protection hidden="1"/>
    </xf>
    <xf numFmtId="0" fontId="44" fillId="0" borderId="44" xfId="0" applyFont="1" applyBorder="1" applyAlignment="1" applyProtection="1">
      <alignment horizontal="left" vertical="center" indent="5"/>
      <protection hidden="1"/>
    </xf>
    <xf numFmtId="0" fontId="44" fillId="0" borderId="17" xfId="0" applyFont="1" applyBorder="1" applyAlignment="1" applyProtection="1">
      <alignment horizontal="left" vertical="center" indent="5"/>
      <protection hidden="1"/>
    </xf>
    <xf numFmtId="0" fontId="0" fillId="0" borderId="43" xfId="0" applyFont="1" applyBorder="1"/>
    <xf numFmtId="0" fontId="0" fillId="0" borderId="89" xfId="0" applyFont="1" applyBorder="1"/>
    <xf numFmtId="0" fontId="73" fillId="35" borderId="90" xfId="0" applyFont="1" applyFill="1" applyBorder="1" applyAlignment="1">
      <alignment horizontal="left"/>
    </xf>
    <xf numFmtId="0" fontId="73" fillId="35" borderId="90" xfId="0" applyFont="1" applyFill="1" applyBorder="1" applyAlignment="1">
      <alignment horizontal="center"/>
    </xf>
    <xf numFmtId="0" fontId="0" fillId="0" borderId="90" xfId="0" applyFill="1" applyBorder="1" applyAlignment="1"/>
    <xf numFmtId="0" fontId="74" fillId="0" borderId="90" xfId="0" applyFont="1" applyFill="1" applyBorder="1" applyAlignment="1">
      <alignment horizontal="left"/>
    </xf>
    <xf numFmtId="0" fontId="0" fillId="0" borderId="90" xfId="0" applyFill="1" applyBorder="1" applyAlignment="1">
      <alignment horizontal="left"/>
    </xf>
    <xf numFmtId="167" fontId="0" fillId="0" borderId="90" xfId="0" applyNumberFormat="1" applyFill="1" applyBorder="1" applyAlignment="1">
      <alignment horizontal="center"/>
    </xf>
    <xf numFmtId="0" fontId="0" fillId="0" borderId="90" xfId="0" applyFill="1" applyBorder="1" applyAlignment="1">
      <alignment horizontal="center"/>
    </xf>
    <xf numFmtId="0" fontId="0" fillId="0" borderId="90" xfId="0" applyNumberFormat="1" applyFill="1" applyBorder="1" applyAlignment="1">
      <alignment horizontal="center"/>
    </xf>
    <xf numFmtId="0" fontId="0" fillId="0" borderId="91" xfId="0" applyFill="1" applyBorder="1" applyAlignment="1">
      <alignment wrapText="1"/>
    </xf>
    <xf numFmtId="167" fontId="5" fillId="0" borderId="91" xfId="0" applyNumberFormat="1" applyFont="1" applyFill="1" applyBorder="1" applyAlignment="1">
      <alignment horizontal="center" wrapText="1"/>
    </xf>
    <xf numFmtId="0" fontId="0" fillId="0" borderId="91" xfId="0" applyFill="1" applyBorder="1" applyAlignment="1">
      <alignment horizontal="left" wrapText="1"/>
    </xf>
    <xf numFmtId="0" fontId="0" fillId="0" borderId="91" xfId="0" applyFill="1" applyBorder="1"/>
    <xf numFmtId="0" fontId="46" fillId="36" borderId="91" xfId="0" applyFont="1" applyFill="1" applyBorder="1"/>
    <xf numFmtId="0" fontId="7" fillId="37" borderId="11" xfId="0" applyFont="1" applyFill="1" applyBorder="1"/>
    <xf numFmtId="0" fontId="46" fillId="37" borderId="11" xfId="0" applyFont="1" applyFill="1" applyBorder="1" applyAlignment="1" applyProtection="1">
      <alignment horizontal="left" vertical="center"/>
      <protection hidden="1"/>
    </xf>
    <xf numFmtId="0" fontId="75" fillId="37" borderId="11" xfId="0" applyFont="1" applyFill="1" applyBorder="1" applyAlignment="1" applyProtection="1">
      <alignment horizontal="left" vertical="center"/>
      <protection hidden="1"/>
    </xf>
    <xf numFmtId="0" fontId="46" fillId="37" borderId="11" xfId="0" applyFont="1" applyFill="1" applyBorder="1" applyAlignment="1" applyProtection="1">
      <alignment vertical="center"/>
      <protection hidden="1"/>
    </xf>
    <xf numFmtId="0" fontId="46" fillId="37" borderId="11" xfId="0" applyFont="1" applyFill="1" applyBorder="1"/>
    <xf numFmtId="0" fontId="46" fillId="34" borderId="11" xfId="0" applyFont="1" applyFill="1" applyBorder="1"/>
    <xf numFmtId="0" fontId="7" fillId="34" borderId="11" xfId="0" applyFont="1" applyFill="1" applyBorder="1" applyAlignment="1"/>
    <xf numFmtId="0" fontId="0" fillId="0" borderId="92" xfId="0" applyBorder="1"/>
    <xf numFmtId="0" fontId="75" fillId="38" borderId="92" xfId="0" applyFont="1" applyFill="1" applyBorder="1"/>
    <xf numFmtId="0" fontId="0" fillId="0" borderId="9" xfId="0" applyBorder="1"/>
    <xf numFmtId="0" fontId="46" fillId="37" borderId="40" xfId="0" applyFont="1" applyFill="1" applyBorder="1" applyAlignment="1" applyProtection="1">
      <alignment vertical="center"/>
      <protection hidden="1"/>
    </xf>
    <xf numFmtId="167" fontId="5" fillId="0" borderId="11" xfId="0" applyNumberFormat="1" applyFont="1" applyFill="1" applyBorder="1" applyAlignment="1">
      <alignment horizontal="center" wrapText="1"/>
    </xf>
    <xf numFmtId="167" fontId="0" fillId="0" borderId="11" xfId="0" applyNumberFormat="1" applyBorder="1"/>
    <xf numFmtId="174" fontId="0" fillId="0" borderId="11" xfId="0" applyNumberFormat="1" applyBorder="1"/>
    <xf numFmtId="0" fontId="77" fillId="0" borderId="0" xfId="42" applyFont="1" applyProtection="1">
      <protection hidden="1"/>
    </xf>
    <xf numFmtId="0" fontId="77" fillId="0" borderId="0" xfId="42" applyFont="1" applyAlignment="1" applyProtection="1">
      <alignment vertical="center"/>
      <protection hidden="1"/>
    </xf>
    <xf numFmtId="0" fontId="77" fillId="0" borderId="0" xfId="42" applyFont="1" applyAlignment="1" applyProtection="1">
      <protection hidden="1"/>
    </xf>
    <xf numFmtId="0" fontId="81" fillId="31" borderId="0" xfId="42" applyFont="1" applyFill="1" applyBorder="1" applyAlignment="1" applyProtection="1">
      <alignment horizontal="centerContinuous" vertical="center"/>
      <protection hidden="1"/>
    </xf>
    <xf numFmtId="0" fontId="82" fillId="31" borderId="0" xfId="42" applyFont="1" applyFill="1" applyBorder="1" applyAlignment="1" applyProtection="1">
      <alignment horizontal="centerContinuous" vertical="center"/>
      <protection hidden="1"/>
    </xf>
    <xf numFmtId="0" fontId="83" fillId="31" borderId="0" xfId="42" applyFont="1" applyFill="1" applyBorder="1" applyAlignment="1" applyProtection="1">
      <alignment horizontal="centerContinuous" vertical="center"/>
      <protection hidden="1"/>
    </xf>
    <xf numFmtId="0" fontId="80" fillId="31" borderId="0" xfId="42" applyFont="1" applyFill="1" applyBorder="1" applyAlignment="1" applyProtection="1">
      <alignment horizontal="centerContinuous" vertical="center"/>
      <protection hidden="1"/>
    </xf>
    <xf numFmtId="0" fontId="77" fillId="31" borderId="0" xfId="42" applyFont="1" applyFill="1" applyBorder="1" applyAlignment="1" applyProtection="1">
      <alignment horizontal="centerContinuous" vertical="center"/>
      <protection hidden="1"/>
    </xf>
    <xf numFmtId="0" fontId="82" fillId="31" borderId="0" xfId="42" applyFont="1" applyFill="1" applyBorder="1" applyAlignment="1" applyProtection="1">
      <alignment horizontal="centerContinuous" vertical="center" wrapText="1"/>
      <protection hidden="1"/>
    </xf>
    <xf numFmtId="0" fontId="84" fillId="31" borderId="0" xfId="42" applyFont="1" applyFill="1" applyBorder="1" applyAlignment="1" applyProtection="1">
      <alignment horizontal="centerContinuous" vertical="center"/>
      <protection hidden="1"/>
    </xf>
    <xf numFmtId="0" fontId="77" fillId="31" borderId="0" xfId="42" applyFont="1" applyFill="1" applyBorder="1" applyProtection="1">
      <protection hidden="1"/>
    </xf>
    <xf numFmtId="0" fontId="78" fillId="31" borderId="0" xfId="42" applyFont="1" applyFill="1" applyBorder="1" applyAlignment="1" applyProtection="1">
      <alignment horizontal="right" wrapText="1"/>
      <protection hidden="1"/>
    </xf>
    <xf numFmtId="0" fontId="87" fillId="31" borderId="0" xfId="42" applyFont="1" applyFill="1" applyBorder="1" applyAlignment="1" applyProtection="1">
      <alignment horizontal="centerContinuous" vertical="center" wrapText="1"/>
      <protection hidden="1"/>
    </xf>
    <xf numFmtId="0" fontId="86" fillId="31" borderId="0" xfId="42" applyFont="1" applyFill="1" applyBorder="1" applyAlignment="1" applyProtection="1">
      <alignment horizontal="centerContinuous" vertical="center"/>
      <protection hidden="1"/>
    </xf>
    <xf numFmtId="0" fontId="87" fillId="31" borderId="0" xfId="42" applyFont="1" applyFill="1" applyBorder="1" applyAlignment="1" applyProtection="1">
      <alignment horizontal="centerContinuous" vertical="center"/>
      <protection hidden="1"/>
    </xf>
    <xf numFmtId="0" fontId="86" fillId="0" borderId="0" xfId="42" applyFont="1" applyAlignment="1" applyProtection="1">
      <alignment vertical="center"/>
      <protection hidden="1"/>
    </xf>
    <xf numFmtId="0" fontId="82" fillId="31" borderId="9" xfId="42" applyFont="1" applyFill="1" applyBorder="1" applyAlignment="1" applyProtection="1">
      <alignment horizontal="left" vertical="center"/>
      <protection hidden="1"/>
    </xf>
    <xf numFmtId="0" fontId="82" fillId="31" borderId="12" xfId="42" applyFont="1" applyFill="1" applyBorder="1" applyAlignment="1" applyProtection="1">
      <alignment horizontal="left" vertical="center"/>
      <protection hidden="1"/>
    </xf>
    <xf numFmtId="0" fontId="82" fillId="31" borderId="10" xfId="42" applyFont="1" applyFill="1" applyBorder="1" applyAlignment="1" applyProtection="1">
      <alignment horizontal="left" vertical="center"/>
      <protection hidden="1"/>
    </xf>
    <xf numFmtId="0" fontId="82" fillId="39" borderId="0" xfId="42" applyFont="1" applyFill="1" applyBorder="1" applyAlignment="1" applyProtection="1">
      <alignment horizontal="center" vertical="center" wrapText="1"/>
      <protection hidden="1"/>
    </xf>
    <xf numFmtId="0" fontId="82" fillId="31" borderId="11" xfId="42" applyFont="1" applyFill="1" applyBorder="1" applyAlignment="1" applyProtection="1">
      <alignment horizontal="left" vertical="center"/>
      <protection hidden="1"/>
    </xf>
    <xf numFmtId="0" fontId="76" fillId="31" borderId="9" xfId="42" applyFont="1" applyFill="1" applyBorder="1" applyAlignment="1" applyProtection="1">
      <alignment horizontal="left" vertical="center"/>
      <protection hidden="1"/>
    </xf>
    <xf numFmtId="0" fontId="76" fillId="31" borderId="12" xfId="42" applyFont="1" applyFill="1" applyBorder="1" applyAlignment="1" applyProtection="1">
      <alignment horizontal="left" vertical="center"/>
      <protection hidden="1"/>
    </xf>
    <xf numFmtId="0" fontId="76" fillId="0" borderId="0" xfId="42" applyFont="1" applyProtection="1">
      <protection hidden="1"/>
    </xf>
    <xf numFmtId="0" fontId="76" fillId="31" borderId="0" xfId="42" applyFont="1" applyFill="1" applyBorder="1" applyProtection="1">
      <protection hidden="1"/>
    </xf>
    <xf numFmtId="0" fontId="82" fillId="31" borderId="0" xfId="42" applyFont="1" applyFill="1" applyBorder="1" applyAlignment="1" applyProtection="1">
      <alignment horizontal="right" wrapText="1"/>
      <protection hidden="1"/>
    </xf>
    <xf numFmtId="0" fontId="76" fillId="31" borderId="0" xfId="42" applyFont="1" applyFill="1" applyBorder="1" applyAlignment="1" applyProtection="1">
      <alignment horizontal="centerContinuous" vertical="center"/>
      <protection hidden="1"/>
    </xf>
    <xf numFmtId="0" fontId="82" fillId="39" borderId="0" xfId="42" applyFont="1" applyFill="1" applyBorder="1" applyAlignment="1" applyProtection="1">
      <alignment horizontal="center" vertical="center"/>
      <protection hidden="1"/>
    </xf>
    <xf numFmtId="0" fontId="76" fillId="31" borderId="12" xfId="42" applyFont="1" applyFill="1" applyBorder="1" applyProtection="1">
      <protection hidden="1"/>
    </xf>
    <xf numFmtId="0" fontId="82" fillId="31" borderId="9" xfId="42" applyFont="1" applyFill="1" applyBorder="1" applyAlignment="1" applyProtection="1">
      <alignment horizontal="left" vertical="center" indent="2"/>
      <protection hidden="1"/>
    </xf>
    <xf numFmtId="0" fontId="77" fillId="31" borderId="94" xfId="42" applyFont="1" applyFill="1" applyBorder="1" applyProtection="1">
      <protection hidden="1"/>
    </xf>
    <xf numFmtId="0" fontId="77" fillId="31" borderId="95" xfId="42" applyFont="1" applyFill="1" applyBorder="1" applyProtection="1">
      <protection hidden="1"/>
    </xf>
    <xf numFmtId="0" fontId="77" fillId="31" borderId="97" xfId="42" applyFont="1" applyFill="1" applyBorder="1" applyProtection="1">
      <protection hidden="1"/>
    </xf>
    <xf numFmtId="0" fontId="80" fillId="31" borderId="96" xfId="42" applyFont="1" applyFill="1" applyBorder="1" applyAlignment="1" applyProtection="1">
      <alignment horizontal="left"/>
      <protection hidden="1"/>
    </xf>
    <xf numFmtId="0" fontId="76" fillId="31" borderId="96" xfId="42" applyFont="1" applyFill="1" applyBorder="1" applyAlignment="1" applyProtection="1">
      <alignment horizontal="left"/>
      <protection hidden="1"/>
    </xf>
    <xf numFmtId="0" fontId="77" fillId="31" borderId="97" xfId="42" applyFont="1" applyFill="1" applyBorder="1" applyAlignment="1" applyProtection="1">
      <alignment vertical="center"/>
      <protection hidden="1"/>
    </xf>
    <xf numFmtId="0" fontId="76" fillId="31" borderId="96" xfId="42" applyFont="1" applyFill="1" applyBorder="1" applyAlignment="1" applyProtection="1">
      <alignment horizontal="centerContinuous"/>
      <protection hidden="1"/>
    </xf>
    <xf numFmtId="0" fontId="86" fillId="31" borderId="96" xfId="42" applyFont="1" applyFill="1" applyBorder="1" applyAlignment="1" applyProtection="1">
      <alignment horizontal="left"/>
      <protection hidden="1"/>
    </xf>
    <xf numFmtId="0" fontId="86" fillId="31" borderId="97" xfId="42" applyFont="1" applyFill="1" applyBorder="1" applyAlignment="1" applyProtection="1">
      <alignment vertical="center"/>
      <protection hidden="1"/>
    </xf>
    <xf numFmtId="0" fontId="77" fillId="31" borderId="97" xfId="42" applyFont="1" applyFill="1" applyBorder="1" applyAlignment="1" applyProtection="1">
      <protection hidden="1"/>
    </xf>
    <xf numFmtId="0" fontId="76" fillId="31" borderId="98" xfId="42" applyFont="1" applyFill="1" applyBorder="1" applyAlignment="1" applyProtection="1">
      <alignment horizontal="center" vertical="center"/>
      <protection hidden="1"/>
    </xf>
    <xf numFmtId="0" fontId="90" fillId="31" borderId="97" xfId="42" applyFont="1" applyFill="1" applyBorder="1" applyProtection="1">
      <protection hidden="1"/>
    </xf>
    <xf numFmtId="0" fontId="76" fillId="31" borderId="97" xfId="42" applyFont="1" applyFill="1" applyBorder="1" applyProtection="1">
      <protection hidden="1"/>
    </xf>
    <xf numFmtId="0" fontId="88" fillId="31" borderId="96" xfId="42" applyFont="1" applyFill="1" applyBorder="1" applyAlignment="1" applyProtection="1">
      <alignment horizontal="left"/>
      <protection hidden="1"/>
    </xf>
    <xf numFmtId="0" fontId="82" fillId="39" borderId="96" xfId="42" applyFont="1" applyFill="1" applyBorder="1" applyAlignment="1" applyProtection="1">
      <alignment horizontal="left" vertical="center"/>
      <protection hidden="1"/>
    </xf>
    <xf numFmtId="0" fontId="76" fillId="31" borderId="99" xfId="42" applyFont="1" applyFill="1" applyBorder="1" applyAlignment="1" applyProtection="1">
      <alignment horizontal="left"/>
      <protection hidden="1"/>
    </xf>
    <xf numFmtId="0" fontId="76" fillId="31" borderId="93" xfId="42" applyFont="1" applyFill="1" applyBorder="1" applyAlignment="1" applyProtection="1">
      <alignment horizontal="left"/>
      <protection hidden="1"/>
    </xf>
    <xf numFmtId="0" fontId="79" fillId="0" borderId="0" xfId="0" applyFont="1" applyProtection="1">
      <protection hidden="1"/>
    </xf>
    <xf numFmtId="0" fontId="91" fillId="0" borderId="0" xfId="0" applyFont="1" applyProtection="1">
      <protection hidden="1"/>
    </xf>
    <xf numFmtId="0" fontId="89" fillId="31" borderId="11" xfId="54" applyFont="1" applyFill="1" applyBorder="1" applyAlignment="1" applyProtection="1">
      <alignment horizontal="center" vertical="center"/>
      <protection hidden="1"/>
    </xf>
    <xf numFmtId="0" fontId="91" fillId="31" borderId="97" xfId="0" applyFont="1" applyFill="1" applyBorder="1" applyProtection="1">
      <protection hidden="1"/>
    </xf>
    <xf numFmtId="0" fontId="92" fillId="39" borderId="97" xfId="0" applyFont="1" applyFill="1" applyBorder="1" applyAlignment="1" applyProtection="1">
      <alignment vertical="center"/>
      <protection hidden="1"/>
    </xf>
    <xf numFmtId="0" fontId="89" fillId="31" borderId="11" xfId="54" applyNumberFormat="1" applyFont="1" applyFill="1" applyBorder="1" applyAlignment="1" applyProtection="1">
      <alignment horizontal="center" vertical="center"/>
      <protection hidden="1"/>
    </xf>
    <xf numFmtId="0" fontId="93" fillId="0" borderId="96" xfId="0" applyFont="1" applyBorder="1" applyProtection="1">
      <protection hidden="1"/>
    </xf>
    <xf numFmtId="0" fontId="93" fillId="0" borderId="0" xfId="0" applyFont="1" applyBorder="1" applyProtection="1">
      <protection hidden="1"/>
    </xf>
    <xf numFmtId="0" fontId="91" fillId="0" borderId="0" xfId="0" applyFont="1" applyBorder="1" applyProtection="1">
      <protection hidden="1"/>
    </xf>
    <xf numFmtId="0" fontId="91" fillId="0" borderId="97" xfId="0" applyFont="1" applyBorder="1" applyProtection="1">
      <protection hidden="1"/>
    </xf>
    <xf numFmtId="0" fontId="79" fillId="0" borderId="0" xfId="0" applyFont="1" applyBorder="1" applyProtection="1">
      <protection hidden="1"/>
    </xf>
    <xf numFmtId="0" fontId="91" fillId="31" borderId="44" xfId="0" applyFont="1" applyFill="1" applyBorder="1" applyProtection="1">
      <protection hidden="1"/>
    </xf>
    <xf numFmtId="0" fontId="79" fillId="0" borderId="97" xfId="0" applyFont="1" applyBorder="1" applyProtection="1">
      <protection hidden="1"/>
    </xf>
    <xf numFmtId="0" fontId="79" fillId="0" borderId="96" xfId="0" applyFont="1" applyBorder="1" applyProtection="1">
      <protection hidden="1"/>
    </xf>
    <xf numFmtId="0" fontId="79" fillId="0" borderId="100" xfId="0" applyFont="1" applyBorder="1" applyProtection="1">
      <protection hidden="1"/>
    </xf>
    <xf numFmtId="0" fontId="79" fillId="0" borderId="101" xfId="0" applyFont="1" applyBorder="1" applyProtection="1">
      <protection hidden="1"/>
    </xf>
    <xf numFmtId="0" fontId="79" fillId="0" borderId="102" xfId="0" applyFont="1" applyBorder="1" applyProtection="1">
      <protection hidden="1"/>
    </xf>
    <xf numFmtId="0" fontId="79" fillId="0" borderId="0" xfId="0" applyFont="1" applyProtection="1">
      <protection locked="0" hidden="1"/>
    </xf>
    <xf numFmtId="0" fontId="89" fillId="31" borderId="11" xfId="54" applyFont="1" applyFill="1" applyBorder="1" applyAlignment="1" applyProtection="1">
      <alignment horizontal="center" vertical="center"/>
      <protection locked="0" hidden="1"/>
    </xf>
    <xf numFmtId="0" fontId="89" fillId="31" borderId="11" xfId="54" applyNumberFormat="1" applyFont="1" applyFill="1" applyBorder="1" applyAlignment="1" applyProtection="1">
      <alignment horizontal="center" vertical="center"/>
      <protection locked="0" hidden="1"/>
    </xf>
    <xf numFmtId="0" fontId="76" fillId="31" borderId="11" xfId="42" applyNumberFormat="1" applyFont="1" applyFill="1" applyBorder="1" applyAlignment="1" applyProtection="1">
      <alignment horizontal="left" vertical="center" indent="1"/>
      <protection hidden="1"/>
    </xf>
    <xf numFmtId="0" fontId="89" fillId="31" borderId="11" xfId="54" applyFont="1" applyFill="1" applyBorder="1" applyAlignment="1" applyProtection="1">
      <alignment horizontal="left" vertical="center" indent="1"/>
      <protection hidden="1"/>
    </xf>
    <xf numFmtId="0" fontId="77" fillId="31" borderId="0" xfId="42" applyFont="1" applyFill="1" applyBorder="1" applyAlignment="1" applyProtection="1">
      <alignment horizontal="center" vertical="center"/>
      <protection hidden="1"/>
    </xf>
    <xf numFmtId="0" fontId="7" fillId="2" borderId="103" xfId="0" applyFont="1" applyFill="1" applyBorder="1"/>
    <xf numFmtId="0" fontId="7" fillId="2" borderId="104" xfId="0" applyFont="1" applyFill="1" applyBorder="1"/>
    <xf numFmtId="0" fontId="7" fillId="2" borderId="105" xfId="0" applyFont="1" applyFill="1" applyBorder="1"/>
    <xf numFmtId="10" fontId="0" fillId="4" borderId="9" xfId="0" applyNumberFormat="1" applyFill="1" applyBorder="1" applyAlignment="1" applyProtection="1">
      <alignment horizontal="center"/>
      <protection locked="0"/>
    </xf>
    <xf numFmtId="0" fontId="94" fillId="40" borderId="106" xfId="0" applyFont="1" applyFill="1" applyBorder="1" applyAlignment="1">
      <alignment horizontal="center"/>
    </xf>
    <xf numFmtId="10" fontId="0" fillId="4" borderId="11" xfId="0" applyNumberFormat="1" applyFill="1" applyBorder="1" applyAlignment="1" applyProtection="1">
      <alignment horizontal="center"/>
      <protection hidden="1"/>
    </xf>
    <xf numFmtId="0" fontId="46" fillId="0" borderId="0" xfId="0" applyFont="1"/>
    <xf numFmtId="0" fontId="0" fillId="0" borderId="0" xfId="0" applyAlignment="1">
      <alignment vertical="center"/>
    </xf>
    <xf numFmtId="0" fontId="0" fillId="0" borderId="0" xfId="0" applyAlignment="1">
      <alignment vertical="center" wrapText="1"/>
    </xf>
    <xf numFmtId="0" fontId="0" fillId="0" borderId="20" xfId="0" applyBorder="1" applyAlignment="1">
      <alignment horizontal="center" vertical="center"/>
    </xf>
    <xf numFmtId="0" fontId="0" fillId="0" borderId="0" xfId="0" applyAlignment="1"/>
    <xf numFmtId="0" fontId="46" fillId="0" borderId="0" xfId="0" applyFont="1" applyAlignment="1">
      <alignment horizontal="center"/>
    </xf>
    <xf numFmtId="0" fontId="46" fillId="0" borderId="0" xfId="0" applyFont="1" applyAlignment="1"/>
    <xf numFmtId="167" fontId="0" fillId="0" borderId="0" xfId="0" applyNumberFormat="1"/>
    <xf numFmtId="1" fontId="0" fillId="4" borderId="9" xfId="0" applyNumberFormat="1" applyFill="1" applyBorder="1" applyAlignment="1" applyProtection="1">
      <alignment horizontal="center"/>
      <protection locked="0"/>
    </xf>
    <xf numFmtId="0" fontId="0" fillId="4" borderId="11" xfId="0" applyFill="1" applyBorder="1" applyAlignment="1" applyProtection="1">
      <alignment horizontal="left"/>
    </xf>
    <xf numFmtId="0" fontId="12" fillId="4" borderId="11" xfId="1" applyFont="1" applyFill="1" applyBorder="1" applyAlignment="1" applyProtection="1">
      <alignment horizontal="left"/>
    </xf>
    <xf numFmtId="0" fontId="26" fillId="0" borderId="0" xfId="42" applyFont="1" applyBorder="1" applyAlignment="1" applyProtection="1">
      <alignment horizontal="left" vertical="top" wrapText="1"/>
      <protection hidden="1"/>
    </xf>
    <xf numFmtId="0" fontId="48" fillId="6" borderId="65" xfId="42" applyFont="1" applyFill="1" applyBorder="1" applyAlignment="1" applyProtection="1">
      <alignment horizontal="left"/>
      <protection hidden="1"/>
    </xf>
    <xf numFmtId="0" fontId="0" fillId="0" borderId="10" xfId="0" applyFont="1" applyBorder="1" applyAlignment="1" applyProtection="1">
      <alignment horizontal="center" vertical="center"/>
      <protection hidden="1"/>
    </xf>
    <xf numFmtId="49" fontId="0" fillId="4" borderId="11" xfId="0" applyNumberFormat="1" applyFill="1" applyBorder="1" applyAlignment="1" applyProtection="1">
      <protection locked="0"/>
    </xf>
    <xf numFmtId="0" fontId="26" fillId="30" borderId="0" xfId="42" applyFont="1" applyFill="1" applyProtection="1"/>
    <xf numFmtId="0" fontId="26" fillId="30" borderId="56" xfId="42" applyFont="1" applyFill="1" applyBorder="1" applyProtection="1"/>
    <xf numFmtId="0" fontId="0" fillId="30" borderId="0" xfId="0" applyFill="1"/>
    <xf numFmtId="0" fontId="46" fillId="30" borderId="0" xfId="0" applyFont="1" applyFill="1"/>
    <xf numFmtId="0" fontId="26" fillId="30" borderId="0" xfId="45" applyFill="1" applyProtection="1">
      <protection hidden="1"/>
    </xf>
    <xf numFmtId="0" fontId="60" fillId="30" borderId="0" xfId="45" applyFont="1" applyFill="1" applyProtection="1">
      <protection hidden="1"/>
    </xf>
    <xf numFmtId="0" fontId="26" fillId="30" borderId="0" xfId="45" applyFill="1" applyAlignment="1" applyProtection="1">
      <alignment horizontal="left"/>
      <protection hidden="1"/>
    </xf>
    <xf numFmtId="0" fontId="26" fillId="30" borderId="0" xfId="45" applyFill="1" applyBorder="1" applyProtection="1">
      <protection hidden="1"/>
    </xf>
    <xf numFmtId="0" fontId="26" fillId="30" borderId="53" xfId="45" applyFill="1" applyBorder="1" applyAlignment="1" applyProtection="1">
      <alignment wrapText="1"/>
      <protection hidden="1"/>
    </xf>
    <xf numFmtId="0" fontId="7" fillId="34" borderId="11" xfId="0" applyFont="1" applyFill="1" applyBorder="1" applyAlignment="1">
      <alignment horizontal="center"/>
    </xf>
    <xf numFmtId="0" fontId="46" fillId="35" borderId="11" xfId="0" applyFont="1" applyFill="1" applyBorder="1" applyAlignment="1">
      <alignment horizontal="center"/>
    </xf>
    <xf numFmtId="0" fontId="1" fillId="32" borderId="9" xfId="3" applyFont="1" applyFill="1" applyBorder="1" applyAlignment="1">
      <alignment horizontal="center" vertical="top"/>
    </xf>
    <xf numFmtId="0" fontId="1" fillId="32" borderId="10" xfId="3" applyFont="1" applyFill="1" applyBorder="1" applyAlignment="1">
      <alignment horizontal="center" vertical="top"/>
    </xf>
    <xf numFmtId="0" fontId="16" fillId="4" borderId="9" xfId="3" applyFill="1" applyBorder="1" applyAlignment="1">
      <alignment horizontal="left"/>
    </xf>
    <xf numFmtId="0" fontId="16" fillId="4" borderId="10" xfId="3" applyFill="1" applyBorder="1" applyAlignment="1">
      <alignment horizontal="left"/>
    </xf>
    <xf numFmtId="0" fontId="16" fillId="33" borderId="9" xfId="3" applyFill="1" applyBorder="1" applyAlignment="1">
      <alignment horizontal="left"/>
    </xf>
    <xf numFmtId="0" fontId="16" fillId="33" borderId="10" xfId="3" applyFill="1" applyBorder="1" applyAlignment="1">
      <alignment horizontal="left"/>
    </xf>
    <xf numFmtId="0" fontId="0" fillId="0" borderId="20" xfId="0" applyBorder="1" applyAlignment="1" applyProtection="1">
      <alignment horizontal="left" vertical="center"/>
      <protection hidden="1"/>
    </xf>
    <xf numFmtId="0" fontId="0" fillId="0" borderId="63" xfId="0" applyBorder="1" applyAlignment="1" applyProtection="1">
      <alignment horizontal="left" vertical="center"/>
      <protection hidden="1"/>
    </xf>
    <xf numFmtId="0" fontId="0" fillId="0" borderId="64" xfId="0" applyBorder="1" applyAlignment="1" applyProtection="1">
      <alignment horizontal="left" vertical="center"/>
      <protection hidden="1"/>
    </xf>
    <xf numFmtId="0" fontId="0" fillId="0" borderId="58" xfId="0" applyBorder="1" applyAlignment="1" applyProtection="1">
      <alignment horizontal="left" vertical="center"/>
      <protection hidden="1"/>
    </xf>
    <xf numFmtId="49" fontId="0" fillId="4" borderId="9" xfId="0" applyNumberFormat="1" applyFill="1" applyBorder="1" applyAlignment="1" applyProtection="1">
      <alignment horizontal="left" indent="1"/>
      <protection locked="0"/>
    </xf>
    <xf numFmtId="0" fontId="0" fillId="0" borderId="12" xfId="0" applyBorder="1" applyProtection="1">
      <protection locked="0"/>
    </xf>
    <xf numFmtId="0" fontId="0" fillId="0" borderId="10" xfId="0" applyBorder="1" applyProtection="1">
      <protection locked="0"/>
    </xf>
    <xf numFmtId="165" fontId="0" fillId="4" borderId="9" xfId="0" applyNumberFormat="1" applyFill="1" applyBorder="1" applyAlignment="1" applyProtection="1">
      <alignment horizontal="left" indent="1"/>
      <protection locked="0"/>
    </xf>
    <xf numFmtId="0" fontId="0" fillId="4" borderId="9" xfId="0" applyFill="1" applyBorder="1" applyAlignment="1" applyProtection="1">
      <alignment horizontal="left" indent="1"/>
      <protection locked="0"/>
    </xf>
    <xf numFmtId="0" fontId="0" fillId="0" borderId="12" xfId="0" applyFont="1" applyBorder="1" applyAlignment="1" applyProtection="1">
      <alignment horizontal="left" indent="1"/>
      <protection locked="0"/>
    </xf>
    <xf numFmtId="0" fontId="0" fillId="0" borderId="10" xfId="0" applyFont="1" applyBorder="1" applyAlignment="1" applyProtection="1">
      <alignment horizontal="left" indent="1"/>
      <protection locked="0"/>
    </xf>
    <xf numFmtId="0" fontId="0" fillId="4" borderId="11" xfId="0" applyFill="1" applyBorder="1" applyAlignment="1" applyProtection="1">
      <alignment horizontal="left" indent="1"/>
      <protection locked="0"/>
    </xf>
    <xf numFmtId="0" fontId="0" fillId="0" borderId="11" xfId="0" applyFont="1" applyBorder="1" applyAlignment="1" applyProtection="1">
      <alignment horizontal="left" indent="1"/>
      <protection locked="0"/>
    </xf>
    <xf numFmtId="164" fontId="0" fillId="4" borderId="9" xfId="0" applyNumberFormat="1" applyFont="1" applyFill="1" applyBorder="1" applyAlignment="1" applyProtection="1">
      <alignment horizontal="left" indent="1"/>
      <protection locked="0"/>
    </xf>
    <xf numFmtId="164" fontId="0" fillId="0" borderId="12" xfId="0" applyNumberFormat="1" applyFont="1" applyBorder="1" applyAlignment="1" applyProtection="1">
      <alignment horizontal="left" indent="1"/>
      <protection locked="0"/>
    </xf>
    <xf numFmtId="164" fontId="0" fillId="0" borderId="10" xfId="0" applyNumberFormat="1" applyFont="1" applyBorder="1" applyAlignment="1" applyProtection="1">
      <alignment horizontal="left" indent="1"/>
      <protection locked="0"/>
    </xf>
    <xf numFmtId="49" fontId="0" fillId="4" borderId="11" xfId="0" applyNumberFormat="1" applyFill="1" applyBorder="1" applyAlignment="1" applyProtection="1">
      <alignment horizontal="left" indent="1"/>
      <protection locked="0"/>
    </xf>
    <xf numFmtId="0" fontId="0" fillId="0" borderId="11" xfId="0" applyNumberFormat="1" applyFont="1" applyBorder="1" applyAlignment="1" applyProtection="1">
      <alignment horizontal="left" indent="1"/>
      <protection locked="0"/>
    </xf>
    <xf numFmtId="0" fontId="8" fillId="5" borderId="9" xfId="1" applyFont="1" applyFill="1" applyBorder="1" applyAlignment="1" applyProtection="1">
      <alignment horizontal="left" indent="1"/>
      <protection locked="0"/>
    </xf>
    <xf numFmtId="0" fontId="8" fillId="5" borderId="12" xfId="1" applyFont="1" applyFill="1" applyBorder="1" applyAlignment="1" applyProtection="1">
      <alignment horizontal="left" indent="1"/>
      <protection locked="0"/>
    </xf>
    <xf numFmtId="0" fontId="8" fillId="5" borderId="10" xfId="1" applyFont="1" applyFill="1" applyBorder="1" applyAlignment="1" applyProtection="1">
      <alignment horizontal="left" indent="1"/>
      <protection locked="0"/>
    </xf>
    <xf numFmtId="0" fontId="11" fillId="5" borderId="9" xfId="1" applyFont="1" applyFill="1" applyBorder="1" applyAlignment="1" applyProtection="1">
      <alignment horizontal="center"/>
      <protection locked="0"/>
    </xf>
    <xf numFmtId="0" fontId="0" fillId="0" borderId="12" xfId="0" applyFont="1" applyBorder="1" applyProtection="1">
      <protection locked="0"/>
    </xf>
    <xf numFmtId="0" fontId="0" fillId="0" borderId="10" xfId="0" applyFont="1" applyBorder="1" applyProtection="1">
      <protection locked="0"/>
    </xf>
    <xf numFmtId="49" fontId="0" fillId="0" borderId="11" xfId="0" applyNumberFormat="1" applyFont="1" applyBorder="1" applyAlignment="1" applyProtection="1">
      <alignment horizontal="left" indent="1"/>
      <protection locked="0"/>
    </xf>
    <xf numFmtId="0" fontId="6" fillId="0" borderId="4" xfId="0" applyFont="1" applyFill="1" applyBorder="1" applyAlignment="1" applyProtection="1">
      <alignment horizontal="center" vertical="center"/>
      <protection hidden="1"/>
    </xf>
    <xf numFmtId="0" fontId="6" fillId="0" borderId="0" xfId="0" applyFont="1" applyFill="1" applyBorder="1" applyAlignment="1" applyProtection="1">
      <alignment horizontal="center" vertical="center"/>
      <protection hidden="1"/>
    </xf>
    <xf numFmtId="0" fontId="6" fillId="0" borderId="5" xfId="0" applyFont="1" applyFill="1" applyBorder="1" applyAlignment="1" applyProtection="1">
      <alignment horizontal="center" vertical="center"/>
      <protection hidden="1"/>
    </xf>
    <xf numFmtId="0" fontId="6" fillId="0" borderId="6" xfId="0" applyFont="1" applyFill="1" applyBorder="1" applyAlignment="1" applyProtection="1">
      <alignment horizontal="center" vertical="center"/>
      <protection hidden="1"/>
    </xf>
    <xf numFmtId="0" fontId="6" fillId="0" borderId="7" xfId="0" applyFont="1" applyFill="1" applyBorder="1" applyAlignment="1" applyProtection="1">
      <alignment horizontal="center" vertical="center"/>
      <protection hidden="1"/>
    </xf>
    <xf numFmtId="0" fontId="6" fillId="0" borderId="8" xfId="0" applyFont="1" applyFill="1" applyBorder="1" applyAlignment="1" applyProtection="1">
      <alignment horizontal="center" vertical="center"/>
      <protection hidden="1"/>
    </xf>
    <xf numFmtId="0" fontId="0" fillId="3" borderId="9" xfId="0" applyFont="1" applyFill="1" applyBorder="1" applyAlignment="1" applyProtection="1">
      <alignment horizontal="left" indent="1"/>
      <protection hidden="1"/>
    </xf>
    <xf numFmtId="0" fontId="0" fillId="0" borderId="12" xfId="0" applyFont="1" applyBorder="1" applyAlignment="1" applyProtection="1">
      <alignment horizontal="left" indent="1"/>
      <protection hidden="1"/>
    </xf>
    <xf numFmtId="0" fontId="0" fillId="0" borderId="10" xfId="0" applyFont="1" applyBorder="1" applyAlignment="1" applyProtection="1">
      <alignment horizontal="left" indent="1"/>
      <protection hidden="1"/>
    </xf>
    <xf numFmtId="14" fontId="0" fillId="4" borderId="11" xfId="0" applyNumberFormat="1" applyFill="1" applyBorder="1" applyAlignment="1" applyProtection="1">
      <alignment horizontal="left" indent="1"/>
      <protection locked="0"/>
    </xf>
    <xf numFmtId="0" fontId="44" fillId="0" borderId="40" xfId="0" applyFont="1" applyBorder="1" applyAlignment="1" applyProtection="1">
      <alignment horizontal="left" vertical="center" wrapText="1" indent="4"/>
      <protection hidden="1"/>
    </xf>
    <xf numFmtId="0" fontId="45" fillId="0" borderId="18" xfId="0" applyFont="1" applyBorder="1" applyAlignment="1" applyProtection="1">
      <alignment horizontal="left" vertical="center" wrapText="1" indent="4"/>
      <protection hidden="1"/>
    </xf>
    <xf numFmtId="0" fontId="45" fillId="0" borderId="19" xfId="0" applyFont="1" applyBorder="1" applyAlignment="1" applyProtection="1">
      <alignment horizontal="left" vertical="center" wrapText="1" indent="4"/>
      <protection hidden="1"/>
    </xf>
    <xf numFmtId="0" fontId="43" fillId="30" borderId="0" xfId="0" applyFont="1" applyFill="1" applyAlignment="1">
      <alignment horizontal="center"/>
    </xf>
    <xf numFmtId="0" fontId="47" fillId="0" borderId="4" xfId="0" applyFont="1" applyFill="1" applyBorder="1" applyAlignment="1" applyProtection="1">
      <alignment horizontal="center" vertical="center"/>
      <protection hidden="1"/>
    </xf>
    <xf numFmtId="0" fontId="47" fillId="0" borderId="0" xfId="0" applyFont="1" applyFill="1" applyBorder="1" applyAlignment="1" applyProtection="1">
      <alignment horizontal="center" vertical="center"/>
      <protection hidden="1"/>
    </xf>
    <xf numFmtId="0" fontId="47" fillId="0" borderId="5" xfId="0" applyFont="1" applyFill="1" applyBorder="1" applyAlignment="1" applyProtection="1">
      <alignment horizontal="center" vertical="center"/>
      <protection hidden="1"/>
    </xf>
    <xf numFmtId="0" fontId="47" fillId="0" borderId="6" xfId="0" applyFont="1" applyFill="1" applyBorder="1" applyAlignment="1" applyProtection="1">
      <alignment horizontal="center" vertical="center"/>
      <protection hidden="1"/>
    </xf>
    <xf numFmtId="0" fontId="47" fillId="0" borderId="7" xfId="0" applyFont="1" applyFill="1" applyBorder="1" applyAlignment="1" applyProtection="1">
      <alignment horizontal="center" vertical="center"/>
      <protection hidden="1"/>
    </xf>
    <xf numFmtId="0" fontId="47" fillId="0" borderId="8" xfId="0" applyFont="1" applyFill="1" applyBorder="1" applyAlignment="1" applyProtection="1">
      <alignment horizontal="center" vertical="center"/>
      <protection hidden="1"/>
    </xf>
    <xf numFmtId="0" fontId="0" fillId="3" borderId="9" xfId="0" applyFont="1" applyFill="1" applyBorder="1" applyAlignment="1" applyProtection="1">
      <alignment horizontal="left" vertical="center" indent="1"/>
      <protection hidden="1"/>
    </xf>
    <xf numFmtId="0" fontId="0" fillId="3" borderId="12" xfId="0" applyFont="1" applyFill="1" applyBorder="1" applyAlignment="1" applyProtection="1">
      <alignment horizontal="left" vertical="center" indent="1"/>
      <protection hidden="1"/>
    </xf>
    <xf numFmtId="0" fontId="0" fillId="3" borderId="10" xfId="0" applyFont="1" applyFill="1" applyBorder="1" applyAlignment="1" applyProtection="1">
      <alignment horizontal="left" vertical="center" indent="1"/>
      <protection hidden="1"/>
    </xf>
    <xf numFmtId="0" fontId="0" fillId="4" borderId="9" xfId="0" applyFont="1" applyFill="1" applyBorder="1" applyAlignment="1" applyProtection="1">
      <alignment horizontal="left" indent="1"/>
      <protection locked="0"/>
    </xf>
    <xf numFmtId="0" fontId="0" fillId="4" borderId="12" xfId="0" applyFont="1" applyFill="1" applyBorder="1" applyAlignment="1" applyProtection="1">
      <alignment horizontal="left" indent="1"/>
      <protection locked="0"/>
    </xf>
    <xf numFmtId="0" fontId="0" fillId="4" borderId="10" xfId="0" applyFont="1" applyFill="1" applyBorder="1" applyAlignment="1" applyProtection="1">
      <alignment horizontal="left" indent="1"/>
      <protection locked="0"/>
    </xf>
    <xf numFmtId="0" fontId="0" fillId="0" borderId="0" xfId="0" applyBorder="1" applyAlignment="1" applyProtection="1">
      <alignment horizontal="left" wrapText="1"/>
      <protection hidden="1"/>
    </xf>
    <xf numFmtId="0" fontId="0" fillId="0" borderId="0" xfId="0" applyFont="1" applyBorder="1" applyAlignment="1" applyProtection="1">
      <alignment horizontal="left"/>
      <protection hidden="1"/>
    </xf>
    <xf numFmtId="0" fontId="15" fillId="0" borderId="9" xfId="54" applyFont="1" applyBorder="1" applyAlignment="1" applyProtection="1">
      <alignment horizontal="left" vertical="center" indent="1"/>
      <protection locked="0"/>
    </xf>
    <xf numFmtId="0" fontId="15" fillId="0" borderId="12" xfId="54" applyFont="1" applyBorder="1" applyAlignment="1" applyProtection="1">
      <alignment horizontal="left" vertical="center" indent="1"/>
      <protection locked="0"/>
    </xf>
    <xf numFmtId="0" fontId="15" fillId="0" borderId="10" xfId="54" applyFont="1" applyBorder="1" applyAlignment="1" applyProtection="1">
      <alignment horizontal="left" vertical="center" indent="1"/>
      <protection locked="0"/>
    </xf>
    <xf numFmtId="1" fontId="15" fillId="0" borderId="9" xfId="54" applyNumberFormat="1" applyFont="1" applyBorder="1" applyAlignment="1" applyProtection="1">
      <alignment horizontal="left" vertical="center" indent="1"/>
      <protection hidden="1"/>
    </xf>
    <xf numFmtId="1" fontId="15" fillId="0" borderId="10" xfId="54" applyNumberFormat="1" applyFont="1" applyBorder="1" applyAlignment="1" applyProtection="1">
      <alignment horizontal="left" vertical="center" indent="1"/>
      <protection hidden="1"/>
    </xf>
    <xf numFmtId="0" fontId="62" fillId="0" borderId="9" xfId="54" applyFont="1" applyBorder="1" applyAlignment="1" applyProtection="1">
      <alignment horizontal="left" vertical="center"/>
      <protection hidden="1"/>
    </xf>
    <xf numFmtId="0" fontId="62" fillId="0" borderId="12" xfId="54" applyFont="1" applyBorder="1" applyAlignment="1" applyProtection="1">
      <alignment horizontal="left" vertical="center"/>
      <protection hidden="1"/>
    </xf>
    <xf numFmtId="0" fontId="62" fillId="0" borderId="10" xfId="54" applyFont="1" applyBorder="1" applyAlignment="1" applyProtection="1">
      <alignment horizontal="left" vertical="center"/>
      <protection hidden="1"/>
    </xf>
    <xf numFmtId="0" fontId="15" fillId="0" borderId="0" xfId="54" applyFont="1" applyBorder="1" applyAlignment="1" applyProtection="1">
      <alignment horizontal="left" wrapText="1"/>
      <protection hidden="1"/>
    </xf>
    <xf numFmtId="0" fontId="66" fillId="0" borderId="0" xfId="54" applyFont="1" applyBorder="1" applyAlignment="1" applyProtection="1">
      <alignment horizontal="center" vertical="center"/>
      <protection hidden="1"/>
    </xf>
    <xf numFmtId="167" fontId="15" fillId="0" borderId="9" xfId="54" applyNumberFormat="1" applyFont="1" applyBorder="1" applyAlignment="1" applyProtection="1">
      <alignment horizontal="center" vertical="center"/>
      <protection locked="0"/>
    </xf>
    <xf numFmtId="167" fontId="15" fillId="0" borderId="10" xfId="54" applyNumberFormat="1" applyFont="1" applyBorder="1" applyAlignment="1" applyProtection="1">
      <alignment horizontal="center" vertical="center"/>
      <protection locked="0"/>
    </xf>
    <xf numFmtId="0" fontId="15" fillId="0" borderId="9" xfId="54" applyFont="1" applyBorder="1" applyAlignment="1" applyProtection="1">
      <alignment horizontal="center" vertical="center"/>
      <protection locked="0"/>
    </xf>
    <xf numFmtId="0" fontId="15" fillId="0" borderId="12" xfId="54" applyFont="1" applyBorder="1" applyAlignment="1" applyProtection="1">
      <alignment horizontal="center" vertical="center"/>
      <protection locked="0"/>
    </xf>
    <xf numFmtId="0" fontId="15" fillId="0" borderId="10" xfId="54" applyFont="1" applyBorder="1" applyAlignment="1" applyProtection="1">
      <alignment horizontal="center" vertical="center"/>
      <protection locked="0"/>
    </xf>
    <xf numFmtId="173" fontId="15" fillId="0" borderId="9" xfId="54" applyNumberFormat="1" applyFont="1" applyBorder="1" applyAlignment="1" applyProtection="1">
      <alignment horizontal="left" vertical="center" indent="1"/>
      <protection hidden="1"/>
    </xf>
    <xf numFmtId="173" fontId="15" fillId="0" borderId="10" xfId="54" applyNumberFormat="1" applyFont="1" applyBorder="1" applyAlignment="1" applyProtection="1">
      <alignment horizontal="left" vertical="center" indent="1"/>
      <protection hidden="1"/>
    </xf>
    <xf numFmtId="0" fontId="15" fillId="0" borderId="9" xfId="54" applyFont="1" applyBorder="1" applyAlignment="1" applyProtection="1">
      <alignment horizontal="left" vertical="center" indent="1"/>
      <protection hidden="1"/>
    </xf>
    <xf numFmtId="0" fontId="15" fillId="0" borderId="10" xfId="54" applyFont="1" applyBorder="1" applyAlignment="1" applyProtection="1">
      <alignment horizontal="left" vertical="center" indent="1"/>
      <protection hidden="1"/>
    </xf>
    <xf numFmtId="0" fontId="66" fillId="0" borderId="0" xfId="54" applyFont="1" applyBorder="1" applyAlignment="1" applyProtection="1">
      <alignment horizontal="center"/>
      <protection hidden="1"/>
    </xf>
    <xf numFmtId="0" fontId="15" fillId="0" borderId="9" xfId="54" applyFont="1" applyBorder="1" applyAlignment="1" applyProtection="1">
      <alignment horizontal="left" vertical="center"/>
      <protection locked="0"/>
    </xf>
    <xf numFmtId="0" fontId="15" fillId="0" borderId="12" xfId="54" applyFont="1" applyBorder="1" applyAlignment="1" applyProtection="1">
      <alignment horizontal="left" vertical="center"/>
      <protection locked="0"/>
    </xf>
    <xf numFmtId="0" fontId="15" fillId="0" borderId="10" xfId="54" applyFont="1" applyBorder="1" applyAlignment="1" applyProtection="1">
      <alignment horizontal="left" vertical="center"/>
      <protection locked="0"/>
    </xf>
    <xf numFmtId="0" fontId="15" fillId="0" borderId="0" xfId="54" applyFont="1" applyBorder="1" applyAlignment="1" applyProtection="1">
      <alignment horizontal="left" vertical="top" wrapText="1"/>
      <protection hidden="1"/>
    </xf>
    <xf numFmtId="166" fontId="15" fillId="0" borderId="9" xfId="54" applyNumberFormat="1" applyFont="1" applyBorder="1" applyAlignment="1" applyProtection="1">
      <alignment horizontal="left" vertical="center"/>
      <protection hidden="1"/>
    </xf>
    <xf numFmtId="166" fontId="15" fillId="0" borderId="10" xfId="54" applyNumberFormat="1" applyFont="1" applyBorder="1" applyAlignment="1" applyProtection="1">
      <alignment horizontal="left" vertical="center"/>
      <protection hidden="1"/>
    </xf>
    <xf numFmtId="1" fontId="15" fillId="6" borderId="9" xfId="42" applyNumberFormat="1" applyFont="1" applyFill="1" applyBorder="1" applyAlignment="1" applyProtection="1">
      <alignment horizontal="left" vertical="center"/>
      <protection hidden="1"/>
    </xf>
    <xf numFmtId="1" fontId="15" fillId="6" borderId="12" xfId="42" applyNumberFormat="1" applyFont="1" applyFill="1" applyBorder="1" applyAlignment="1" applyProtection="1">
      <alignment horizontal="left" vertical="center"/>
      <protection hidden="1"/>
    </xf>
    <xf numFmtId="1" fontId="15" fillId="6" borderId="10" xfId="42" applyNumberFormat="1" applyFont="1" applyFill="1" applyBorder="1" applyAlignment="1" applyProtection="1">
      <alignment horizontal="left" vertical="center"/>
      <protection hidden="1"/>
    </xf>
    <xf numFmtId="0" fontId="48" fillId="6" borderId="81" xfId="42" applyNumberFormat="1" applyFont="1" applyFill="1" applyBorder="1" applyAlignment="1" applyProtection="1">
      <alignment horizontal="left"/>
      <protection hidden="1"/>
    </xf>
    <xf numFmtId="0" fontId="48" fillId="6" borderId="84" xfId="42" applyNumberFormat="1" applyFont="1" applyFill="1" applyBorder="1" applyAlignment="1" applyProtection="1">
      <alignment horizontal="left"/>
      <protection hidden="1"/>
    </xf>
    <xf numFmtId="0" fontId="48" fillId="6" borderId="49" xfId="42" applyFont="1" applyFill="1" applyBorder="1" applyAlignment="1" applyProtection="1">
      <alignment horizontal="left" wrapText="1"/>
      <protection hidden="1"/>
    </xf>
    <xf numFmtId="0" fontId="48" fillId="6" borderId="0" xfId="42" applyFont="1" applyFill="1" applyBorder="1" applyAlignment="1" applyProtection="1">
      <alignment horizontal="left" wrapText="1"/>
      <protection hidden="1"/>
    </xf>
    <xf numFmtId="0" fontId="48" fillId="6" borderId="50" xfId="42" applyFont="1" applyFill="1" applyBorder="1" applyAlignment="1" applyProtection="1">
      <alignment horizontal="left" wrapText="1"/>
      <protection hidden="1"/>
    </xf>
    <xf numFmtId="0" fontId="48" fillId="6" borderId="49" xfId="42" applyFont="1" applyFill="1" applyBorder="1" applyAlignment="1" applyProtection="1">
      <alignment horizontal="center" wrapText="1"/>
      <protection hidden="1"/>
    </xf>
    <xf numFmtId="0" fontId="48" fillId="6" borderId="0" xfId="42" applyFont="1" applyFill="1" applyBorder="1" applyAlignment="1" applyProtection="1">
      <alignment horizontal="center" wrapText="1"/>
      <protection hidden="1"/>
    </xf>
    <xf numFmtId="0" fontId="48" fillId="6" borderId="50" xfId="42" applyFont="1" applyFill="1" applyBorder="1" applyAlignment="1" applyProtection="1">
      <alignment horizontal="center" wrapText="1"/>
      <protection hidden="1"/>
    </xf>
    <xf numFmtId="0" fontId="48" fillId="6" borderId="63" xfId="42" applyFont="1" applyFill="1" applyBorder="1" applyAlignment="1" applyProtection="1">
      <alignment horizontal="left"/>
      <protection hidden="1"/>
    </xf>
    <xf numFmtId="0" fontId="48" fillId="6" borderId="64" xfId="42" applyFont="1" applyFill="1" applyBorder="1" applyAlignment="1" applyProtection="1">
      <alignment horizontal="left"/>
      <protection hidden="1"/>
    </xf>
    <xf numFmtId="0" fontId="48" fillId="6" borderId="51" xfId="42" applyNumberFormat="1" applyFont="1" applyFill="1" applyBorder="1" applyAlignment="1" applyProtection="1">
      <alignment horizontal="left" vertical="center"/>
      <protection locked="0"/>
    </xf>
    <xf numFmtId="0" fontId="48" fillId="6" borderId="48" xfId="42" applyNumberFormat="1" applyFont="1" applyFill="1" applyBorder="1" applyAlignment="1" applyProtection="1">
      <alignment horizontal="left" vertical="center"/>
      <protection locked="0"/>
    </xf>
    <xf numFmtId="0" fontId="48" fillId="6" borderId="65" xfId="42" applyNumberFormat="1" applyFont="1" applyFill="1" applyBorder="1" applyAlignment="1" applyProtection="1">
      <alignment horizontal="left" vertical="center"/>
      <protection locked="0"/>
    </xf>
    <xf numFmtId="0" fontId="48" fillId="6" borderId="52" xfId="42" applyNumberFormat="1" applyFont="1" applyFill="1" applyBorder="1" applyAlignment="1" applyProtection="1">
      <alignment horizontal="left" vertical="center"/>
      <protection locked="0"/>
    </xf>
    <xf numFmtId="0" fontId="48" fillId="6" borderId="53" xfId="42" applyNumberFormat="1" applyFont="1" applyFill="1" applyBorder="1" applyAlignment="1" applyProtection="1">
      <alignment horizontal="left" vertical="center"/>
      <protection locked="0"/>
    </xf>
    <xf numFmtId="0" fontId="48" fillId="6" borderId="54" xfId="42" applyNumberFormat="1" applyFont="1" applyFill="1" applyBorder="1" applyAlignment="1" applyProtection="1">
      <alignment horizontal="left" vertical="center"/>
      <protection locked="0"/>
    </xf>
    <xf numFmtId="0" fontId="48" fillId="6" borderId="63" xfId="42" applyFont="1" applyFill="1" applyBorder="1" applyAlignment="1" applyProtection="1">
      <alignment horizontal="left" indent="1"/>
      <protection hidden="1"/>
    </xf>
    <xf numFmtId="0" fontId="48" fillId="6" borderId="58" xfId="42" applyFont="1" applyFill="1" applyBorder="1" applyAlignment="1" applyProtection="1">
      <alignment horizontal="left" indent="1"/>
      <protection hidden="1"/>
    </xf>
    <xf numFmtId="0" fontId="53" fillId="6" borderId="63" xfId="42" applyFont="1" applyFill="1" applyBorder="1" applyAlignment="1" applyProtection="1">
      <alignment horizontal="center" vertical="center"/>
      <protection hidden="1"/>
    </xf>
    <xf numFmtId="0" fontId="53" fillId="6" borderId="64" xfId="42" applyFont="1" applyFill="1" applyBorder="1" applyAlignment="1" applyProtection="1">
      <alignment horizontal="center" vertical="center"/>
      <protection hidden="1"/>
    </xf>
    <xf numFmtId="0" fontId="53" fillId="6" borderId="58" xfId="42" applyFont="1" applyFill="1" applyBorder="1" applyAlignment="1" applyProtection="1">
      <alignment horizontal="center" vertical="center"/>
      <protection hidden="1"/>
    </xf>
    <xf numFmtId="0" fontId="48" fillId="6" borderId="63" xfId="42" applyFont="1" applyFill="1" applyBorder="1" applyAlignment="1" applyProtection="1">
      <alignment horizontal="center" wrapText="1"/>
      <protection hidden="1"/>
    </xf>
    <xf numFmtId="0" fontId="48" fillId="6" borderId="58" xfId="42" applyFont="1" applyFill="1" applyBorder="1" applyAlignment="1" applyProtection="1">
      <alignment horizontal="center" wrapText="1"/>
      <protection hidden="1"/>
    </xf>
    <xf numFmtId="0" fontId="48" fillId="6" borderId="87" xfId="42" applyFont="1" applyFill="1" applyBorder="1" applyAlignment="1" applyProtection="1">
      <alignment horizontal="left"/>
      <protection hidden="1"/>
    </xf>
    <xf numFmtId="0" fontId="48" fillId="6" borderId="88" xfId="42" applyFont="1" applyFill="1" applyBorder="1" applyAlignment="1" applyProtection="1">
      <alignment horizontal="left"/>
      <protection hidden="1"/>
    </xf>
    <xf numFmtId="0" fontId="48" fillId="6" borderId="85" xfId="42" applyNumberFormat="1" applyFont="1" applyFill="1" applyBorder="1" applyAlignment="1" applyProtection="1">
      <alignment horizontal="left" wrapText="1"/>
      <protection hidden="1"/>
    </xf>
    <xf numFmtId="0" fontId="48" fillId="6" borderId="86" xfId="42" applyNumberFormat="1" applyFont="1" applyFill="1" applyBorder="1" applyAlignment="1" applyProtection="1">
      <alignment horizontal="left" wrapText="1"/>
      <protection hidden="1"/>
    </xf>
    <xf numFmtId="0" fontId="48" fillId="6" borderId="70" xfId="42" applyFont="1" applyFill="1" applyBorder="1" applyAlignment="1" applyProtection="1">
      <alignment horizontal="left"/>
      <protection hidden="1"/>
    </xf>
    <xf numFmtId="0" fontId="48" fillId="6" borderId="71" xfId="42" applyFont="1" applyFill="1" applyBorder="1" applyAlignment="1" applyProtection="1">
      <alignment horizontal="left"/>
      <protection hidden="1"/>
    </xf>
    <xf numFmtId="0" fontId="26" fillId="0" borderId="58" xfId="42" applyBorder="1" applyProtection="1">
      <protection hidden="1"/>
    </xf>
    <xf numFmtId="0" fontId="26" fillId="0" borderId="64" xfId="42" applyBorder="1" applyProtection="1">
      <protection hidden="1"/>
    </xf>
    <xf numFmtId="0" fontId="48" fillId="6" borderId="72" xfId="42" applyFont="1" applyFill="1" applyBorder="1" applyAlignment="1" applyProtection="1">
      <alignment horizontal="left"/>
      <protection hidden="1"/>
    </xf>
    <xf numFmtId="0" fontId="48" fillId="6" borderId="77" xfId="42" applyFont="1" applyFill="1" applyBorder="1" applyAlignment="1" applyProtection="1">
      <alignment horizontal="left"/>
      <protection hidden="1"/>
    </xf>
    <xf numFmtId="0" fontId="48" fillId="6" borderId="82" xfId="42" applyNumberFormat="1" applyFont="1" applyFill="1" applyBorder="1" applyAlignment="1" applyProtection="1">
      <alignment horizontal="left"/>
      <protection hidden="1"/>
    </xf>
    <xf numFmtId="0" fontId="48" fillId="6" borderId="83" xfId="42" applyNumberFormat="1" applyFont="1" applyFill="1" applyBorder="1" applyAlignment="1" applyProtection="1">
      <alignment horizontal="left"/>
      <protection hidden="1"/>
    </xf>
    <xf numFmtId="0" fontId="48" fillId="6" borderId="63" xfId="42" applyFont="1" applyFill="1" applyBorder="1" applyAlignment="1" applyProtection="1">
      <alignment horizontal="center" vertical="center"/>
      <protection hidden="1"/>
    </xf>
    <xf numFmtId="0" fontId="48" fillId="6" borderId="58" xfId="42" applyFont="1" applyFill="1" applyBorder="1" applyAlignment="1" applyProtection="1">
      <alignment horizontal="center" vertical="center"/>
      <protection hidden="1"/>
    </xf>
    <xf numFmtId="0" fontId="48" fillId="6" borderId="64" xfId="42" applyFont="1" applyFill="1" applyBorder="1" applyAlignment="1" applyProtection="1">
      <alignment horizontal="center" wrapText="1"/>
      <protection hidden="1"/>
    </xf>
    <xf numFmtId="0" fontId="48" fillId="6" borderId="79" xfId="42" applyFont="1" applyFill="1" applyBorder="1" applyAlignment="1" applyProtection="1">
      <alignment horizontal="left" wrapText="1"/>
      <protection hidden="1"/>
    </xf>
    <xf numFmtId="0" fontId="48" fillId="6" borderId="78" xfId="42" applyFont="1" applyFill="1" applyBorder="1" applyAlignment="1" applyProtection="1">
      <alignment horizontal="left" wrapText="1"/>
      <protection hidden="1"/>
    </xf>
    <xf numFmtId="0" fontId="48" fillId="6" borderId="70" xfId="42" applyNumberFormat="1" applyFont="1" applyFill="1" applyBorder="1" applyAlignment="1" applyProtection="1">
      <alignment horizontal="left" wrapText="1"/>
      <protection hidden="1"/>
    </xf>
    <xf numFmtId="0" fontId="48" fillId="6" borderId="75" xfId="42" applyNumberFormat="1" applyFont="1" applyFill="1" applyBorder="1" applyAlignment="1" applyProtection="1">
      <alignment horizontal="left" wrapText="1"/>
      <protection hidden="1"/>
    </xf>
    <xf numFmtId="0" fontId="48" fillId="6" borderId="71" xfId="42" applyNumberFormat="1" applyFont="1" applyFill="1" applyBorder="1" applyAlignment="1" applyProtection="1">
      <alignment horizontal="left" wrapText="1"/>
      <protection hidden="1"/>
    </xf>
    <xf numFmtId="0" fontId="26" fillId="0" borderId="49" xfId="42" applyFont="1" applyBorder="1" applyAlignment="1" applyProtection="1">
      <alignment horizontal="left" vertical="top" wrapText="1"/>
      <protection hidden="1"/>
    </xf>
    <xf numFmtId="0" fontId="26" fillId="0" borderId="0" xfId="42" applyFont="1" applyBorder="1" applyAlignment="1" applyProtection="1">
      <alignment horizontal="left" vertical="top" wrapText="1"/>
      <protection hidden="1"/>
    </xf>
    <xf numFmtId="0" fontId="48" fillId="6" borderId="70" xfId="42" applyFont="1" applyFill="1" applyBorder="1" applyAlignment="1" applyProtection="1">
      <alignment horizontal="left" wrapText="1"/>
      <protection hidden="1"/>
    </xf>
    <xf numFmtId="0" fontId="48" fillId="6" borderId="71" xfId="42" applyFont="1" applyFill="1" applyBorder="1" applyAlignment="1" applyProtection="1">
      <alignment horizontal="left" wrapText="1"/>
      <protection hidden="1"/>
    </xf>
    <xf numFmtId="0" fontId="48" fillId="6" borderId="72" xfId="42" applyFont="1" applyFill="1" applyBorder="1" applyAlignment="1" applyProtection="1">
      <alignment horizontal="left" wrapText="1"/>
      <protection hidden="1"/>
    </xf>
    <xf numFmtId="0" fontId="48" fillId="6" borderId="77" xfId="42" applyFont="1" applyFill="1" applyBorder="1" applyAlignment="1" applyProtection="1">
      <alignment horizontal="left" wrapText="1"/>
      <protection hidden="1"/>
    </xf>
    <xf numFmtId="0" fontId="48" fillId="6" borderId="72" xfId="42" applyNumberFormat="1" applyFont="1" applyFill="1" applyBorder="1" applyAlignment="1" applyProtection="1">
      <alignment horizontal="left" wrapText="1"/>
      <protection hidden="1"/>
    </xf>
    <xf numFmtId="0" fontId="48" fillId="6" borderId="76" xfId="42" applyNumberFormat="1" applyFont="1" applyFill="1" applyBorder="1" applyAlignment="1" applyProtection="1">
      <alignment horizontal="left" wrapText="1"/>
      <protection hidden="1"/>
    </xf>
    <xf numFmtId="0" fontId="48" fillId="6" borderId="77" xfId="42" applyNumberFormat="1" applyFont="1" applyFill="1" applyBorder="1" applyAlignment="1" applyProtection="1">
      <alignment horizontal="left" wrapText="1"/>
      <protection hidden="1"/>
    </xf>
    <xf numFmtId="0" fontId="53" fillId="6" borderId="0" xfId="42" applyFont="1" applyFill="1" applyBorder="1" applyAlignment="1" applyProtection="1">
      <alignment horizontal="center" wrapText="1"/>
      <protection hidden="1"/>
    </xf>
    <xf numFmtId="0" fontId="53" fillId="6" borderId="50" xfId="42" applyFont="1" applyFill="1" applyBorder="1" applyAlignment="1" applyProtection="1">
      <alignment horizontal="center" wrapText="1"/>
      <protection hidden="1"/>
    </xf>
    <xf numFmtId="0" fontId="48" fillId="6" borderId="0" xfId="42" applyFont="1" applyFill="1" applyBorder="1" applyAlignment="1" applyProtection="1">
      <alignment horizontal="right" wrapText="1"/>
      <protection hidden="1"/>
    </xf>
    <xf numFmtId="0" fontId="48" fillId="6" borderId="50" xfId="42" applyFont="1" applyFill="1" applyBorder="1" applyAlignment="1" applyProtection="1">
      <alignment horizontal="right" wrapText="1"/>
      <protection hidden="1"/>
    </xf>
    <xf numFmtId="0" fontId="53" fillId="6" borderId="53" xfId="42" applyFont="1" applyFill="1" applyBorder="1" applyAlignment="1" applyProtection="1">
      <alignment horizontal="left" wrapText="1" indent="2"/>
      <protection hidden="1"/>
    </xf>
    <xf numFmtId="0" fontId="53" fillId="6" borderId="54" xfId="42" applyFont="1" applyFill="1" applyBorder="1" applyAlignment="1" applyProtection="1">
      <alignment horizontal="left" wrapText="1" indent="2"/>
      <protection hidden="1"/>
    </xf>
    <xf numFmtId="0" fontId="48" fillId="6" borderId="51" xfId="42" applyFont="1" applyFill="1" applyBorder="1" applyAlignment="1" applyProtection="1">
      <alignment horizontal="center"/>
      <protection hidden="1"/>
    </xf>
    <xf numFmtId="0" fontId="48" fillId="6" borderId="48" xfId="42" applyFont="1" applyFill="1" applyBorder="1" applyAlignment="1" applyProtection="1">
      <alignment horizontal="center"/>
      <protection hidden="1"/>
    </xf>
    <xf numFmtId="0" fontId="48" fillId="6" borderId="65" xfId="42" applyFont="1" applyFill="1" applyBorder="1" applyAlignment="1" applyProtection="1">
      <alignment horizontal="center"/>
      <protection hidden="1"/>
    </xf>
    <xf numFmtId="0" fontId="48" fillId="6" borderId="51" xfId="42" applyFont="1" applyFill="1" applyBorder="1" applyAlignment="1" applyProtection="1">
      <alignment horizontal="center" wrapText="1"/>
      <protection hidden="1"/>
    </xf>
    <xf numFmtId="0" fontId="48" fillId="6" borderId="65" xfId="42" applyFont="1" applyFill="1" applyBorder="1" applyAlignment="1" applyProtection="1">
      <alignment horizontal="center" wrapText="1"/>
      <protection hidden="1"/>
    </xf>
    <xf numFmtId="0" fontId="48" fillId="31" borderId="51" xfId="42" applyFont="1" applyFill="1" applyBorder="1" applyAlignment="1" applyProtection="1">
      <alignment horizontal="center"/>
      <protection hidden="1"/>
    </xf>
    <xf numFmtId="0" fontId="48" fillId="31" borderId="48" xfId="42" applyFont="1" applyFill="1" applyBorder="1" applyAlignment="1" applyProtection="1">
      <alignment horizontal="center"/>
      <protection hidden="1"/>
    </xf>
    <xf numFmtId="0" fontId="48" fillId="31" borderId="65" xfId="42" applyFont="1" applyFill="1" applyBorder="1" applyAlignment="1" applyProtection="1">
      <alignment horizontal="center"/>
      <protection hidden="1"/>
    </xf>
    <xf numFmtId="0" fontId="48" fillId="31" borderId="51" xfId="42" applyFont="1" applyFill="1" applyBorder="1" applyAlignment="1" applyProtection="1">
      <alignment horizontal="center" wrapText="1"/>
      <protection hidden="1"/>
    </xf>
    <xf numFmtId="0" fontId="48" fillId="31" borderId="65" xfId="42" applyFont="1" applyFill="1" applyBorder="1" applyAlignment="1" applyProtection="1">
      <alignment horizontal="center" wrapText="1"/>
      <protection hidden="1"/>
    </xf>
    <xf numFmtId="0" fontId="48" fillId="31" borderId="72" xfId="42" applyFont="1" applyFill="1" applyBorder="1" applyAlignment="1" applyProtection="1">
      <alignment horizontal="center"/>
      <protection hidden="1"/>
    </xf>
    <xf numFmtId="0" fontId="48" fillId="31" borderId="76" xfId="42" applyFont="1" applyFill="1" applyBorder="1" applyAlignment="1" applyProtection="1">
      <alignment horizontal="center"/>
      <protection hidden="1"/>
    </xf>
    <xf numFmtId="0" fontId="48" fillId="31" borderId="77" xfId="42" applyFont="1" applyFill="1" applyBorder="1" applyAlignment="1" applyProtection="1">
      <alignment horizontal="center"/>
      <protection hidden="1"/>
    </xf>
    <xf numFmtId="0" fontId="48" fillId="31" borderId="72" xfId="42" applyFont="1" applyFill="1" applyBorder="1" applyAlignment="1" applyProtection="1">
      <alignment horizontal="center" wrapText="1"/>
      <protection hidden="1"/>
    </xf>
    <xf numFmtId="0" fontId="48" fillId="31" borderId="77" xfId="42" applyFont="1" applyFill="1" applyBorder="1" applyAlignment="1" applyProtection="1">
      <alignment horizontal="center" wrapText="1"/>
      <protection hidden="1"/>
    </xf>
    <xf numFmtId="0" fontId="26" fillId="6" borderId="49" xfId="42" applyFont="1" applyFill="1" applyBorder="1" applyAlignment="1" applyProtection="1">
      <alignment horizontal="left" wrapText="1" indent="1"/>
    </xf>
    <xf numFmtId="0" fontId="26" fillId="6" borderId="0" xfId="42" applyFont="1" applyFill="1" applyBorder="1" applyAlignment="1" applyProtection="1">
      <alignment horizontal="left" wrapText="1" indent="1"/>
    </xf>
    <xf numFmtId="0" fontId="26" fillId="6" borderId="80" xfId="42" applyFont="1" applyFill="1" applyBorder="1" applyAlignment="1" applyProtection="1">
      <alignment horizontal="left"/>
    </xf>
    <xf numFmtId="0" fontId="26" fillId="6" borderId="49" xfId="42" applyFont="1" applyFill="1" applyBorder="1" applyAlignment="1" applyProtection="1">
      <alignment horizontal="left" vertical="top" wrapText="1" indent="1"/>
    </xf>
    <xf numFmtId="0" fontId="26" fillId="6" borderId="0" xfId="42" applyFont="1" applyFill="1" applyBorder="1" applyAlignment="1" applyProtection="1">
      <alignment horizontal="left" vertical="top" wrapText="1" indent="1"/>
    </xf>
    <xf numFmtId="0" fontId="26" fillId="6" borderId="49" xfId="42" applyFont="1" applyFill="1" applyBorder="1" applyAlignment="1" applyProtection="1">
      <alignment horizontal="center" vertical="center" wrapText="1"/>
    </xf>
    <xf numFmtId="0" fontId="26" fillId="6" borderId="0" xfId="42" applyFont="1" applyFill="1" applyBorder="1" applyAlignment="1" applyProtection="1">
      <alignment horizontal="center" vertical="center" wrapText="1"/>
    </xf>
    <xf numFmtId="0" fontId="26" fillId="6" borderId="63" xfId="42" applyFont="1" applyFill="1" applyBorder="1" applyAlignment="1" applyProtection="1">
      <alignment horizontal="left" wrapText="1"/>
      <protection hidden="1"/>
    </xf>
    <xf numFmtId="0" fontId="26" fillId="6" borderId="58" xfId="42" applyFont="1" applyFill="1" applyBorder="1" applyAlignment="1" applyProtection="1">
      <alignment horizontal="left" wrapText="1"/>
      <protection hidden="1"/>
    </xf>
    <xf numFmtId="0" fontId="26" fillId="6" borderId="63" xfId="42" applyFont="1" applyFill="1" applyBorder="1" applyAlignment="1" applyProtection="1">
      <alignment horizontal="center" wrapText="1"/>
      <protection hidden="1"/>
    </xf>
    <xf numFmtId="0" fontId="26" fillId="6" borderId="58" xfId="42" applyFont="1" applyFill="1" applyBorder="1" applyAlignment="1" applyProtection="1">
      <alignment horizontal="center" wrapText="1"/>
      <protection hidden="1"/>
    </xf>
    <xf numFmtId="0" fontId="26" fillId="6" borderId="64" xfId="42" applyFont="1" applyFill="1" applyBorder="1" applyAlignment="1" applyProtection="1">
      <alignment horizontal="center" wrapText="1"/>
      <protection hidden="1"/>
    </xf>
    <xf numFmtId="0" fontId="26" fillId="6" borderId="63" xfId="42" applyFont="1" applyFill="1" applyBorder="1" applyAlignment="1" applyProtection="1">
      <alignment horizontal="center" vertical="center" wrapText="1"/>
      <protection hidden="1"/>
    </xf>
    <xf numFmtId="0" fontId="26" fillId="6" borderId="58" xfId="42" applyFont="1" applyFill="1" applyBorder="1" applyAlignment="1" applyProtection="1">
      <alignment horizontal="center" vertical="center" wrapText="1"/>
      <protection hidden="1"/>
    </xf>
    <xf numFmtId="169" fontId="26" fillId="6" borderId="63" xfId="42" applyNumberFormat="1" applyFont="1" applyFill="1" applyBorder="1" applyAlignment="1" applyProtection="1">
      <alignment horizontal="center" vertical="center" wrapText="1"/>
      <protection hidden="1"/>
    </xf>
    <xf numFmtId="169" fontId="26" fillId="6" borderId="64" xfId="42" applyNumberFormat="1" applyFont="1" applyFill="1" applyBorder="1" applyAlignment="1" applyProtection="1">
      <alignment horizontal="center" vertical="center" wrapText="1"/>
      <protection hidden="1"/>
    </xf>
    <xf numFmtId="169" fontId="26" fillId="6" borderId="58" xfId="42" applyNumberFormat="1" applyFont="1" applyFill="1" applyBorder="1" applyAlignment="1" applyProtection="1">
      <alignment horizontal="center" vertical="center" wrapText="1"/>
      <protection hidden="1"/>
    </xf>
    <xf numFmtId="0" fontId="26" fillId="0" borderId="2" xfId="42" applyFont="1" applyBorder="1" applyAlignment="1" applyProtection="1">
      <alignment horizontal="center"/>
    </xf>
    <xf numFmtId="0" fontId="26" fillId="0" borderId="2" xfId="42" applyFont="1" applyBorder="1" applyAlignment="1" applyProtection="1">
      <alignment horizontal="left"/>
    </xf>
    <xf numFmtId="0" fontId="26" fillId="0" borderId="0" xfId="42" applyFont="1" applyAlignment="1" applyProtection="1">
      <alignment horizontal="left" wrapText="1"/>
    </xf>
    <xf numFmtId="0" fontId="26" fillId="0" borderId="56" xfId="42" applyFont="1" applyBorder="1" applyAlignment="1" applyProtection="1">
      <alignment horizontal="center" wrapText="1"/>
    </xf>
    <xf numFmtId="0" fontId="56" fillId="6" borderId="51" xfId="42" applyFont="1" applyFill="1" applyBorder="1" applyAlignment="1" applyProtection="1">
      <alignment horizontal="left" vertical="top" wrapText="1"/>
    </xf>
    <xf numFmtId="0" fontId="56" fillId="6" borderId="65" xfId="42" applyFont="1" applyFill="1" applyBorder="1" applyAlignment="1" applyProtection="1">
      <alignment horizontal="left" vertical="top" wrapText="1"/>
    </xf>
    <xf numFmtId="0" fontId="56" fillId="6" borderId="49" xfId="42" applyFont="1" applyFill="1" applyBorder="1" applyAlignment="1" applyProtection="1">
      <alignment horizontal="left" vertical="top" wrapText="1"/>
    </xf>
    <xf numFmtId="0" fontId="56" fillId="6" borderId="50" xfId="42" applyFont="1" applyFill="1" applyBorder="1" applyAlignment="1" applyProtection="1">
      <alignment horizontal="left" vertical="top" wrapText="1"/>
    </xf>
    <xf numFmtId="0" fontId="56" fillId="6" borderId="52" xfId="42" applyFont="1" applyFill="1" applyBorder="1" applyAlignment="1" applyProtection="1">
      <alignment horizontal="left" vertical="top" wrapText="1"/>
    </xf>
    <xf numFmtId="0" fontId="56" fillId="6" borderId="54" xfId="42" applyFont="1" applyFill="1" applyBorder="1" applyAlignment="1" applyProtection="1">
      <alignment horizontal="left" vertical="top" wrapText="1"/>
    </xf>
    <xf numFmtId="0" fontId="26" fillId="0" borderId="53" xfId="42" applyFont="1" applyBorder="1" applyAlignment="1" applyProtection="1">
      <alignment horizontal="left" shrinkToFit="1"/>
      <protection hidden="1"/>
    </xf>
    <xf numFmtId="0" fontId="26" fillId="0" borderId="54" xfId="42" applyFont="1" applyBorder="1" applyAlignment="1" applyProtection="1">
      <alignment horizontal="left" shrinkToFit="1"/>
      <protection hidden="1"/>
    </xf>
    <xf numFmtId="0" fontId="26" fillId="0" borderId="0" xfId="42" applyFont="1" applyAlignment="1" applyProtection="1">
      <alignment horizontal="center"/>
    </xf>
    <xf numFmtId="0" fontId="26" fillId="0" borderId="0" xfId="42" applyFont="1" applyBorder="1" applyAlignment="1" applyProtection="1">
      <alignment horizontal="left" shrinkToFit="1"/>
      <protection hidden="1"/>
    </xf>
    <xf numFmtId="0" fontId="26" fillId="0" borderId="50" xfId="42" applyFont="1" applyBorder="1" applyAlignment="1" applyProtection="1">
      <alignment horizontal="left" shrinkToFit="1"/>
      <protection hidden="1"/>
    </xf>
    <xf numFmtId="0" fontId="26" fillId="0" borderId="48" xfId="42" applyFont="1" applyBorder="1" applyAlignment="1" applyProtection="1">
      <alignment horizontal="left" shrinkToFit="1"/>
      <protection hidden="1"/>
    </xf>
    <xf numFmtId="0" fontId="26" fillId="0" borderId="65" xfId="42" applyFont="1" applyBorder="1" applyAlignment="1" applyProtection="1">
      <alignment horizontal="left" shrinkToFit="1"/>
      <protection hidden="1"/>
    </xf>
    <xf numFmtId="0" fontId="97" fillId="0" borderId="48" xfId="0" applyFont="1" applyBorder="1" applyAlignment="1">
      <alignment horizontal="right"/>
    </xf>
    <xf numFmtId="0" fontId="0" fillId="0" borderId="0" xfId="0" applyAlignment="1">
      <alignment horizontal="left" vertical="center"/>
    </xf>
    <xf numFmtId="0" fontId="0" fillId="0" borderId="0" xfId="0" applyAlignment="1">
      <alignment horizontal="left" vertical="center" wrapText="1"/>
    </xf>
    <xf numFmtId="0" fontId="95" fillId="0" borderId="0" xfId="0" applyFont="1" applyAlignment="1">
      <alignment horizontal="right"/>
    </xf>
    <xf numFmtId="0" fontId="0" fillId="0" borderId="0" xfId="0" applyAlignment="1">
      <alignment horizontal="center" vertical="center"/>
    </xf>
    <xf numFmtId="0" fontId="0" fillId="0" borderId="59" xfId="0"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63" xfId="0" applyBorder="1" applyAlignment="1">
      <alignment horizontal="left" vertical="center" indent="1"/>
    </xf>
    <xf numFmtId="0" fontId="0" fillId="0" borderId="64" xfId="0" applyBorder="1" applyAlignment="1">
      <alignment horizontal="left" vertical="center" indent="1"/>
    </xf>
    <xf numFmtId="0" fontId="0" fillId="0" borderId="58" xfId="0" applyBorder="1" applyAlignment="1">
      <alignment horizontal="left" vertical="center" indent="1"/>
    </xf>
    <xf numFmtId="0" fontId="0" fillId="0" borderId="63" xfId="0" applyBorder="1" applyAlignment="1">
      <alignment horizontal="center"/>
    </xf>
    <xf numFmtId="0" fontId="0" fillId="0" borderId="64" xfId="0" applyBorder="1" applyAlignment="1">
      <alignment horizontal="center"/>
    </xf>
    <xf numFmtId="0" fontId="0" fillId="0" borderId="58" xfId="0" applyBorder="1" applyAlignment="1">
      <alignment horizontal="center"/>
    </xf>
    <xf numFmtId="1" fontId="0" fillId="0" borderId="63" xfId="0" applyNumberFormat="1" applyBorder="1" applyAlignment="1">
      <alignment horizontal="center"/>
    </xf>
    <xf numFmtId="1" fontId="0" fillId="0" borderId="64" xfId="0" applyNumberFormat="1" applyBorder="1" applyAlignment="1">
      <alignment horizontal="center"/>
    </xf>
    <xf numFmtId="1" fontId="0" fillId="0" borderId="58" xfId="0" applyNumberFormat="1" applyBorder="1" applyAlignment="1">
      <alignment horizontal="center"/>
    </xf>
    <xf numFmtId="0" fontId="0" fillId="0" borderId="63" xfId="0" applyBorder="1" applyAlignment="1">
      <alignment horizontal="left" indent="1"/>
    </xf>
    <xf numFmtId="0" fontId="0" fillId="0" borderId="64" xfId="0" applyBorder="1" applyAlignment="1">
      <alignment horizontal="left" indent="1"/>
    </xf>
    <xf numFmtId="0" fontId="0" fillId="0" borderId="58" xfId="0" applyBorder="1" applyAlignment="1">
      <alignment horizontal="left" indent="1"/>
    </xf>
    <xf numFmtId="0" fontId="0" fillId="0" borderId="59" xfId="0" applyFill="1" applyBorder="1" applyAlignment="1">
      <alignment horizontal="center" vertical="center"/>
    </xf>
    <xf numFmtId="0" fontId="0" fillId="0" borderId="67" xfId="0" applyFill="1" applyBorder="1" applyAlignment="1">
      <alignment horizontal="center" vertical="center"/>
    </xf>
    <xf numFmtId="0" fontId="0" fillId="0" borderId="66" xfId="0" applyFill="1" applyBorder="1" applyAlignment="1">
      <alignment horizontal="center" vertical="center"/>
    </xf>
    <xf numFmtId="0" fontId="46" fillId="0" borderId="63" xfId="0" applyFont="1" applyBorder="1" applyAlignment="1">
      <alignment horizontal="center" vertical="center"/>
    </xf>
    <xf numFmtId="0" fontId="46" fillId="0" borderId="64" xfId="0" applyFont="1" applyBorder="1" applyAlignment="1">
      <alignment horizontal="center" vertical="center"/>
    </xf>
    <xf numFmtId="0" fontId="46" fillId="0" borderId="58" xfId="0" applyFont="1" applyBorder="1" applyAlignment="1">
      <alignment horizontal="center" vertical="center"/>
    </xf>
    <xf numFmtId="167" fontId="0" fillId="0" borderId="63" xfId="0" applyNumberFormat="1" applyBorder="1" applyAlignment="1">
      <alignment horizontal="right" vertical="center"/>
    </xf>
    <xf numFmtId="167" fontId="0" fillId="0" borderId="64" xfId="0" applyNumberFormat="1" applyBorder="1" applyAlignment="1">
      <alignment horizontal="right" vertical="center"/>
    </xf>
    <xf numFmtId="167" fontId="0" fillId="0" borderId="64" xfId="0" applyNumberFormat="1" applyBorder="1" applyAlignment="1">
      <alignment horizontal="center" vertical="center"/>
    </xf>
    <xf numFmtId="167" fontId="0" fillId="0" borderId="64" xfId="0" applyNumberFormat="1" applyBorder="1" applyAlignment="1">
      <alignment horizontal="left" vertical="center"/>
    </xf>
    <xf numFmtId="167" fontId="0" fillId="0" borderId="58" xfId="0" applyNumberFormat="1" applyBorder="1" applyAlignment="1">
      <alignment horizontal="left" vertical="center"/>
    </xf>
    <xf numFmtId="49" fontId="0" fillId="0" borderId="63" xfId="0" applyNumberFormat="1" applyFont="1" applyBorder="1" applyAlignment="1">
      <alignment horizontal="center" vertical="center"/>
    </xf>
    <xf numFmtId="0" fontId="0" fillId="0" borderId="64" xfId="0" applyFont="1" applyBorder="1" applyAlignment="1">
      <alignment horizontal="center" vertical="center"/>
    </xf>
    <xf numFmtId="0" fontId="0" fillId="0" borderId="58" xfId="0" applyFont="1" applyBorder="1" applyAlignment="1">
      <alignment horizontal="center" vertical="center"/>
    </xf>
    <xf numFmtId="0" fontId="0" fillId="0" borderId="20" xfId="0" applyBorder="1" applyAlignment="1">
      <alignment horizontal="center" vertical="center"/>
    </xf>
    <xf numFmtId="0" fontId="0" fillId="0" borderId="63" xfId="0" applyBorder="1" applyAlignment="1">
      <alignment horizontal="left" vertical="center" wrapText="1" indent="1"/>
    </xf>
    <xf numFmtId="0" fontId="0" fillId="0" borderId="64" xfId="0" applyBorder="1" applyAlignment="1">
      <alignment horizontal="left" vertical="center" wrapText="1" indent="1"/>
    </xf>
    <xf numFmtId="0" fontId="0" fillId="0" borderId="58" xfId="0" applyBorder="1" applyAlignment="1">
      <alignment horizontal="left" vertical="center" wrapText="1" indent="1"/>
    </xf>
    <xf numFmtId="167" fontId="0" fillId="0" borderId="63" xfId="0" applyNumberFormat="1" applyBorder="1" applyAlignment="1">
      <alignment horizontal="center"/>
    </xf>
    <xf numFmtId="167" fontId="0" fillId="0" borderId="64" xfId="0" applyNumberFormat="1" applyBorder="1" applyAlignment="1">
      <alignment horizontal="center"/>
    </xf>
    <xf numFmtId="167" fontId="0" fillId="0" borderId="58" xfId="0" applyNumberFormat="1" applyBorder="1" applyAlignment="1">
      <alignment horizontal="center"/>
    </xf>
    <xf numFmtId="0" fontId="0" fillId="0" borderId="51" xfId="0" applyBorder="1" applyAlignment="1">
      <alignment horizontal="left" vertical="center" wrapText="1" indent="1"/>
    </xf>
    <xf numFmtId="0" fontId="0" fillId="0" borderId="48" xfId="0" applyBorder="1" applyAlignment="1">
      <alignment horizontal="left" vertical="center" wrapText="1" indent="1"/>
    </xf>
    <xf numFmtId="0" fontId="0" fillId="0" borderId="65" xfId="0" applyBorder="1" applyAlignment="1">
      <alignment horizontal="left" vertical="center" wrapText="1" indent="1"/>
    </xf>
    <xf numFmtId="0" fontId="0" fillId="0" borderId="52" xfId="0" applyBorder="1" applyAlignment="1">
      <alignment horizontal="left" vertical="center" wrapText="1" indent="1"/>
    </xf>
    <xf numFmtId="0" fontId="0" fillId="0" borderId="53" xfId="0" applyBorder="1" applyAlignment="1">
      <alignment horizontal="left" vertical="center" wrapText="1" indent="1"/>
    </xf>
    <xf numFmtId="0" fontId="0" fillId="0" borderId="54" xfId="0" applyBorder="1" applyAlignment="1">
      <alignment horizontal="left" vertical="center" wrapText="1" indent="1"/>
    </xf>
    <xf numFmtId="0" fontId="0" fillId="0" borderId="51" xfId="0" applyBorder="1" applyAlignment="1">
      <alignment horizontal="center"/>
    </xf>
    <xf numFmtId="0" fontId="0" fillId="0" borderId="48" xfId="0" applyBorder="1" applyAlignment="1">
      <alignment horizontal="center"/>
    </xf>
    <xf numFmtId="0" fontId="0" fillId="0" borderId="65"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0" fillId="0" borderId="54" xfId="0" applyBorder="1" applyAlignment="1">
      <alignment horizontal="center"/>
    </xf>
    <xf numFmtId="0" fontId="0" fillId="0" borderId="52" xfId="0" applyBorder="1" applyAlignment="1">
      <alignment horizontal="center" wrapText="1"/>
    </xf>
    <xf numFmtId="0" fontId="46" fillId="0" borderId="0" xfId="0" applyFont="1" applyAlignment="1">
      <alignment horizontal="center" vertical="center"/>
    </xf>
    <xf numFmtId="0" fontId="99" fillId="0" borderId="0" xfId="0" applyFont="1" applyAlignment="1">
      <alignment horizontal="center"/>
    </xf>
    <xf numFmtId="0" fontId="0" fillId="0" borderId="0" xfId="0" applyAlignment="1">
      <alignment horizontal="center" wrapText="1"/>
    </xf>
    <xf numFmtId="0" fontId="0" fillId="0" borderId="0" xfId="0" applyAlignment="1">
      <alignment horizontal="center"/>
    </xf>
    <xf numFmtId="0" fontId="26" fillId="0" borderId="0" xfId="45" applyBorder="1" applyAlignment="1" applyProtection="1">
      <alignment horizontal="left" vertical="top" wrapText="1"/>
      <protection hidden="1"/>
    </xf>
    <xf numFmtId="0" fontId="26" fillId="0" borderId="63" xfId="45" applyBorder="1" applyAlignment="1" applyProtection="1">
      <alignment horizontal="left" shrinkToFit="1"/>
      <protection hidden="1"/>
    </xf>
    <xf numFmtId="0" fontId="26" fillId="0" borderId="64" xfId="45" applyBorder="1" applyAlignment="1" applyProtection="1">
      <alignment horizontal="left" shrinkToFit="1"/>
      <protection hidden="1"/>
    </xf>
    <xf numFmtId="0" fontId="26" fillId="0" borderId="58" xfId="45" applyBorder="1" applyAlignment="1" applyProtection="1">
      <alignment horizontal="left" shrinkToFit="1"/>
      <protection hidden="1"/>
    </xf>
    <xf numFmtId="0" fontId="26" fillId="0" borderId="0" xfId="45" applyAlignment="1" applyProtection="1">
      <alignment horizontal="left" wrapText="1"/>
      <protection hidden="1"/>
    </xf>
    <xf numFmtId="164" fontId="89" fillId="31" borderId="9" xfId="54" applyNumberFormat="1" applyFont="1" applyFill="1" applyBorder="1" applyAlignment="1" applyProtection="1">
      <alignment horizontal="left" vertical="center" indent="1"/>
      <protection hidden="1"/>
    </xf>
    <xf numFmtId="164" fontId="89" fillId="31" borderId="12" xfId="54" applyNumberFormat="1" applyFont="1" applyFill="1" applyBorder="1" applyAlignment="1" applyProtection="1">
      <alignment horizontal="left" vertical="center" indent="1"/>
      <protection hidden="1"/>
    </xf>
    <xf numFmtId="164" fontId="89" fillId="31" borderId="10" xfId="54" applyNumberFormat="1" applyFont="1" applyFill="1" applyBorder="1" applyAlignment="1" applyProtection="1">
      <alignment horizontal="left" vertical="center" indent="1"/>
      <protection hidden="1"/>
    </xf>
    <xf numFmtId="0" fontId="76" fillId="31" borderId="9" xfId="42" applyNumberFormat="1" applyFont="1" applyFill="1" applyBorder="1" applyAlignment="1" applyProtection="1">
      <alignment horizontal="left" vertical="center"/>
      <protection hidden="1"/>
    </xf>
    <xf numFmtId="0" fontId="76" fillId="31" borderId="12" xfId="42" applyNumberFormat="1" applyFont="1" applyFill="1" applyBorder="1" applyAlignment="1" applyProtection="1">
      <alignment horizontal="left" vertical="center"/>
      <protection hidden="1"/>
    </xf>
    <xf numFmtId="0" fontId="76" fillId="31" borderId="10" xfId="42" applyNumberFormat="1" applyFont="1" applyFill="1" applyBorder="1" applyAlignment="1" applyProtection="1">
      <alignment horizontal="left" vertical="center"/>
      <protection hidden="1"/>
    </xf>
    <xf numFmtId="0" fontId="82" fillId="31" borderId="45" xfId="42" applyFont="1" applyFill="1" applyBorder="1" applyAlignment="1" applyProtection="1">
      <alignment horizontal="center" vertical="center"/>
      <protection hidden="1"/>
    </xf>
    <xf numFmtId="0" fontId="82" fillId="31" borderId="0" xfId="42" applyFont="1" applyFill="1" applyBorder="1" applyAlignment="1" applyProtection="1">
      <alignment horizontal="center" vertical="center"/>
      <protection hidden="1"/>
    </xf>
    <xf numFmtId="0" fontId="82" fillId="31" borderId="9" xfId="42" applyFont="1" applyFill="1" applyBorder="1" applyAlignment="1" applyProtection="1">
      <alignment horizontal="left" vertical="center" wrapText="1"/>
      <protection hidden="1"/>
    </xf>
    <xf numFmtId="0" fontId="82" fillId="31" borderId="12" xfId="42" applyFont="1" applyFill="1" applyBorder="1" applyAlignment="1" applyProtection="1">
      <alignment horizontal="left" vertical="center" wrapText="1"/>
      <protection hidden="1"/>
    </xf>
    <xf numFmtId="0" fontId="82" fillId="31" borderId="10" xfId="42" applyFont="1" applyFill="1" applyBorder="1" applyAlignment="1" applyProtection="1">
      <alignment horizontal="left" vertical="center" wrapText="1"/>
      <protection hidden="1"/>
    </xf>
    <xf numFmtId="0" fontId="89" fillId="31" borderId="9" xfId="54" applyFont="1" applyFill="1" applyBorder="1" applyAlignment="1" applyProtection="1">
      <alignment horizontal="left" vertical="center" indent="1"/>
      <protection hidden="1"/>
    </xf>
    <xf numFmtId="0" fontId="89" fillId="31" borderId="12" xfId="54" applyFont="1" applyFill="1" applyBorder="1" applyAlignment="1" applyProtection="1">
      <alignment horizontal="left" vertical="center" indent="1"/>
      <protection hidden="1"/>
    </xf>
    <xf numFmtId="0" fontId="89" fillId="31" borderId="10" xfId="54" applyFont="1" applyFill="1" applyBorder="1" applyAlignment="1" applyProtection="1">
      <alignment horizontal="left" vertical="center" indent="1"/>
      <protection hidden="1"/>
    </xf>
    <xf numFmtId="0" fontId="89" fillId="0" borderId="9" xfId="54" applyFont="1" applyFill="1" applyBorder="1" applyAlignment="1" applyProtection="1">
      <alignment horizontal="left" vertical="center" indent="1"/>
      <protection locked="0" hidden="1"/>
    </xf>
    <xf numFmtId="0" fontId="89" fillId="0" borderId="12" xfId="54" applyFont="1" applyFill="1" applyBorder="1" applyAlignment="1" applyProtection="1">
      <alignment horizontal="left" vertical="center" indent="1"/>
      <protection locked="0" hidden="1"/>
    </xf>
    <xf numFmtId="0" fontId="89" fillId="0" borderId="10" xfId="54" applyFont="1" applyFill="1" applyBorder="1" applyAlignment="1" applyProtection="1">
      <alignment horizontal="left" vertical="center" indent="1"/>
      <protection locked="0" hidden="1"/>
    </xf>
    <xf numFmtId="0" fontId="78" fillId="31" borderId="94" xfId="42" applyFont="1" applyFill="1" applyBorder="1" applyAlignment="1" applyProtection="1">
      <alignment horizontal="right" wrapText="1" indent="1"/>
      <protection hidden="1"/>
    </xf>
  </cellXfs>
  <cellStyles count="55">
    <cellStyle name="20% - Accent1 2" xfId="4" xr:uid="{00000000-0005-0000-0000-000000000000}"/>
    <cellStyle name="20% - Accent2 2" xfId="5" xr:uid="{00000000-0005-0000-0000-000001000000}"/>
    <cellStyle name="20% - Accent3 2" xfId="6" xr:uid="{00000000-0005-0000-0000-000002000000}"/>
    <cellStyle name="20% - Accent4 2" xfId="7" xr:uid="{00000000-0005-0000-0000-000003000000}"/>
    <cellStyle name="20% - Accent5 2" xfId="8" xr:uid="{00000000-0005-0000-0000-000004000000}"/>
    <cellStyle name="20% - Accent6 2" xfId="9" xr:uid="{00000000-0005-0000-0000-000005000000}"/>
    <cellStyle name="40% - Accent1 2" xfId="10" xr:uid="{00000000-0005-0000-0000-000006000000}"/>
    <cellStyle name="40% - Accent2 2" xfId="11" xr:uid="{00000000-0005-0000-0000-000007000000}"/>
    <cellStyle name="40% - Accent3 2" xfId="12" xr:uid="{00000000-0005-0000-0000-000008000000}"/>
    <cellStyle name="40% - Accent4 2" xfId="13" xr:uid="{00000000-0005-0000-0000-000009000000}"/>
    <cellStyle name="40% - Accent5 2" xfId="14" xr:uid="{00000000-0005-0000-0000-00000A000000}"/>
    <cellStyle name="40% - Accent6 2" xfId="15" xr:uid="{00000000-0005-0000-0000-00000B000000}"/>
    <cellStyle name="60% - Accent1 2" xfId="16" xr:uid="{00000000-0005-0000-0000-00000C000000}"/>
    <cellStyle name="60% - Accent2 2" xfId="17" xr:uid="{00000000-0005-0000-0000-00000D000000}"/>
    <cellStyle name="60% - Accent3 2" xfId="18" xr:uid="{00000000-0005-0000-0000-00000E000000}"/>
    <cellStyle name="60% - Accent4 2" xfId="19" xr:uid="{00000000-0005-0000-0000-00000F000000}"/>
    <cellStyle name="60% - Accent5 2" xfId="20" xr:uid="{00000000-0005-0000-0000-000010000000}"/>
    <cellStyle name="60% - Accent6 2" xfId="21" xr:uid="{00000000-0005-0000-0000-000011000000}"/>
    <cellStyle name="Accent1 2" xfId="22" xr:uid="{00000000-0005-0000-0000-000012000000}"/>
    <cellStyle name="Accent2 2" xfId="23" xr:uid="{00000000-0005-0000-0000-000013000000}"/>
    <cellStyle name="Accent3 2" xfId="24" xr:uid="{00000000-0005-0000-0000-000014000000}"/>
    <cellStyle name="Accent4 2" xfId="25" xr:uid="{00000000-0005-0000-0000-000015000000}"/>
    <cellStyle name="Accent5 2" xfId="26" xr:uid="{00000000-0005-0000-0000-000016000000}"/>
    <cellStyle name="Accent6 2" xfId="27" xr:uid="{00000000-0005-0000-0000-000017000000}"/>
    <cellStyle name="Bad 2" xfId="28" xr:uid="{00000000-0005-0000-0000-000018000000}"/>
    <cellStyle name="Calculation 2" xfId="29" xr:uid="{00000000-0005-0000-0000-000019000000}"/>
    <cellStyle name="Check Cell 2" xfId="30" xr:uid="{00000000-0005-0000-0000-00001A000000}"/>
    <cellStyle name="Comma 2" xfId="31" xr:uid="{00000000-0005-0000-0000-00001B000000}"/>
    <cellStyle name="Explanatory Text 2" xfId="32" xr:uid="{00000000-0005-0000-0000-00001C000000}"/>
    <cellStyle name="Good 2" xfId="33" xr:uid="{00000000-0005-0000-0000-00001D000000}"/>
    <cellStyle name="Heading 1 2" xfId="34" xr:uid="{00000000-0005-0000-0000-00001E000000}"/>
    <cellStyle name="Heading 2 2" xfId="35" xr:uid="{00000000-0005-0000-0000-00001F000000}"/>
    <cellStyle name="Heading 3 2" xfId="36" xr:uid="{00000000-0005-0000-0000-000020000000}"/>
    <cellStyle name="Heading 4 2" xfId="37" xr:uid="{00000000-0005-0000-0000-000021000000}"/>
    <cellStyle name="Hyperlink" xfId="1" builtinId="8"/>
    <cellStyle name="Hyperlink 2" xfId="52" xr:uid="{00000000-0005-0000-0000-000023000000}"/>
    <cellStyle name="Input 2" xfId="38" xr:uid="{00000000-0005-0000-0000-000024000000}"/>
    <cellStyle name="Linked Cell 2" xfId="39" xr:uid="{00000000-0005-0000-0000-000025000000}"/>
    <cellStyle name="Neutral 2" xfId="40" xr:uid="{00000000-0005-0000-0000-000026000000}"/>
    <cellStyle name="Normal" xfId="0" builtinId="0"/>
    <cellStyle name="Normal 10" xfId="41" xr:uid="{00000000-0005-0000-0000-000028000000}"/>
    <cellStyle name="Normal 10 2 2" xfId="42" xr:uid="{00000000-0005-0000-0000-000029000000}"/>
    <cellStyle name="Normal 2" xfId="3" xr:uid="{00000000-0005-0000-0000-00002A000000}"/>
    <cellStyle name="Normal 2 2" xfId="43" xr:uid="{00000000-0005-0000-0000-00002B000000}"/>
    <cellStyle name="Normal 2 3" xfId="53" xr:uid="{00000000-0005-0000-0000-00002C000000}"/>
    <cellStyle name="Normal 25" xfId="44" xr:uid="{00000000-0005-0000-0000-00002D000000}"/>
    <cellStyle name="Normal 3" xfId="45" xr:uid="{00000000-0005-0000-0000-00002E000000}"/>
    <cellStyle name="Normal 4" xfId="46" xr:uid="{00000000-0005-0000-0000-00002F000000}"/>
    <cellStyle name="Normal 5" xfId="2" xr:uid="{00000000-0005-0000-0000-000030000000}"/>
    <cellStyle name="Normal_TTK Dependents Enrolment Form" xfId="54" xr:uid="{00000000-0005-0000-0000-000031000000}"/>
    <cellStyle name="Note 2" xfId="47" xr:uid="{00000000-0005-0000-0000-000032000000}"/>
    <cellStyle name="Output 2" xfId="48" xr:uid="{00000000-0005-0000-0000-000033000000}"/>
    <cellStyle name="Title 2" xfId="49" xr:uid="{00000000-0005-0000-0000-000034000000}"/>
    <cellStyle name="Total 2" xfId="50" xr:uid="{00000000-0005-0000-0000-000035000000}"/>
    <cellStyle name="Warning Text 2" xfId="51" xr:uid="{00000000-0005-0000-0000-000036000000}"/>
  </cellStyles>
  <dxfs count="34">
    <dxf>
      <fill>
        <patternFill>
          <bgColor theme="9" tint="0.59996337778862885"/>
        </patternFill>
      </fill>
    </dxf>
    <dxf>
      <fill>
        <patternFill>
          <bgColor theme="9" tint="0.59996337778862885"/>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theme="9" tint="0.59996337778862885"/>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theme="9" tint="0.59996337778862885"/>
        </patternFill>
      </fill>
    </dxf>
    <dxf>
      <fill>
        <patternFill>
          <bgColor theme="9" tint="0.59996337778862885"/>
        </patternFill>
      </fill>
    </dxf>
    <dxf>
      <fill>
        <patternFill>
          <bgColor rgb="FFE0EB8D"/>
        </patternFill>
      </fill>
    </dxf>
    <dxf>
      <fill>
        <patternFill>
          <bgColor rgb="FFE0EB8D"/>
        </patternFill>
      </fill>
    </dxf>
    <dxf>
      <fill>
        <patternFill>
          <bgColor rgb="FFE0EB8D"/>
        </patternFill>
      </fill>
    </dxf>
    <dxf>
      <fill>
        <patternFill>
          <bgColor theme="9" tint="0.59996337778862885"/>
        </patternFill>
      </fill>
    </dxf>
    <dxf>
      <fill>
        <patternFill>
          <bgColor rgb="FFE0EB8D"/>
        </patternFill>
      </fill>
    </dxf>
    <dxf>
      <fill>
        <patternFill>
          <bgColor indexed="41"/>
        </patternFill>
      </fill>
    </dxf>
    <dxf>
      <font>
        <color theme="0"/>
      </font>
      <fill>
        <patternFill patternType="none">
          <bgColor auto="1"/>
        </patternFill>
      </fill>
      <border>
        <left style="thin">
          <color theme="0"/>
        </left>
        <right style="thin">
          <color theme="0"/>
        </right>
        <top style="thin">
          <color theme="0"/>
        </top>
        <bottom style="thin">
          <color theme="0"/>
        </bottom>
      </border>
    </dxf>
    <dxf>
      <font>
        <color theme="0"/>
      </font>
      <fill>
        <patternFill patternType="none">
          <bgColor auto="1"/>
        </patternFill>
      </fill>
      <border>
        <left style="thin">
          <color theme="0"/>
        </left>
        <right style="thin">
          <color theme="0"/>
        </right>
        <top style="thin">
          <color theme="0"/>
        </top>
        <bottom style="thin">
          <color theme="0"/>
        </bottom>
      </border>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indexed="41"/>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F37771"/>
      <color rgb="FFFF0066"/>
      <color rgb="FFE0EB8D"/>
      <color rgb="FF008F00"/>
      <color rgb="FF558F21"/>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wmf"/><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11.png"/><Relationship Id="rId2" Type="http://schemas.openxmlformats.org/officeDocument/2006/relationships/image" Target="../media/image4.png"/><Relationship Id="rId1" Type="http://schemas.openxmlformats.org/officeDocument/2006/relationships/image" Target="../media/image9.wmf"/><Relationship Id="rId6" Type="http://schemas.openxmlformats.org/officeDocument/2006/relationships/image" Target="../media/image10.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9.wmf"/><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9.wmf"/><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9.wmf"/><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2.emf"/><Relationship Id="rId5" Type="http://schemas.openxmlformats.org/officeDocument/2006/relationships/image" Target="../media/image7.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3.emf"/><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258539</xdr:colOff>
      <xdr:row>0</xdr:row>
      <xdr:rowOff>74839</xdr:rowOff>
    </xdr:from>
    <xdr:to>
      <xdr:col>2</xdr:col>
      <xdr:colOff>476253</xdr:colOff>
      <xdr:row>4</xdr:row>
      <xdr:rowOff>13836</xdr:rowOff>
    </xdr:to>
    <xdr:pic>
      <xdr:nvPicPr>
        <xdr:cNvPr id="2" name="Picture 1" descr="lock.pn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868139" y="74839"/>
          <a:ext cx="827314" cy="805772"/>
        </a:xfrm>
        <a:prstGeom prst="rect">
          <a:avLst/>
        </a:prstGeom>
        <a:noFill/>
        <a:ln w="9525">
          <a:noFill/>
          <a:miter lim="800000"/>
          <a:headEnd/>
          <a:tailEnd/>
        </a:ln>
      </xdr:spPr>
    </xdr:pic>
    <xdr:clientData/>
  </xdr:twoCellAnchor>
  <xdr:twoCellAnchor>
    <xdr:from>
      <xdr:col>0</xdr:col>
      <xdr:colOff>227320</xdr:colOff>
      <xdr:row>8</xdr:row>
      <xdr:rowOff>47276</xdr:rowOff>
    </xdr:from>
    <xdr:to>
      <xdr:col>20</xdr:col>
      <xdr:colOff>145677</xdr:colOff>
      <xdr:row>15</xdr:row>
      <xdr:rowOff>52830</xdr:rowOff>
    </xdr:to>
    <xdr:pic>
      <xdr:nvPicPr>
        <xdr:cNvPr id="3" name="Picture 6" descr="image00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srcRect t="2490" r="223" b="82233"/>
        <a:stretch>
          <a:fillRect/>
        </a:stretch>
      </xdr:blipFill>
      <xdr:spPr bwMode="auto">
        <a:xfrm>
          <a:off x="227320" y="1828451"/>
          <a:ext cx="12110357" cy="1405729"/>
        </a:xfrm>
        <a:prstGeom prst="rect">
          <a:avLst/>
        </a:prstGeom>
        <a:noFill/>
        <a:ln>
          <a:noFill/>
        </a:ln>
      </xdr:spPr>
    </xdr:pic>
    <xdr:clientData/>
  </xdr:twoCellAnchor>
  <xdr:twoCellAnchor>
    <xdr:from>
      <xdr:col>0</xdr:col>
      <xdr:colOff>257735</xdr:colOff>
      <xdr:row>12</xdr:row>
      <xdr:rowOff>145675</xdr:rowOff>
    </xdr:from>
    <xdr:to>
      <xdr:col>7</xdr:col>
      <xdr:colOff>-1</xdr:colOff>
      <xdr:row>15</xdr:row>
      <xdr:rowOff>134469</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257735" y="2726950"/>
          <a:ext cx="4009464" cy="588869"/>
        </a:xfrm>
        <a:prstGeom prst="rect">
          <a:avLst/>
        </a:prstGeom>
        <a:no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248849</xdr:colOff>
      <xdr:row>17</xdr:row>
      <xdr:rowOff>200666</xdr:rowOff>
    </xdr:from>
    <xdr:to>
      <xdr:col>8</xdr:col>
      <xdr:colOff>84683</xdr:colOff>
      <xdr:row>39</xdr:row>
      <xdr:rowOff>147999</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48849" y="3888202"/>
          <a:ext cx="4734405" cy="4478511"/>
          <a:chOff x="239244" y="4135532"/>
          <a:chExt cx="4676775" cy="4171950"/>
        </a:xfrm>
      </xdr:grpSpPr>
      <xdr:pic>
        <xdr:nvPicPr>
          <xdr:cNvPr id="6" name="Picture 4" descr="image00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3" cstate="print"/>
          <a:stretch>
            <a:fillRect/>
          </a:stretch>
        </xdr:blipFill>
        <xdr:spPr bwMode="auto">
          <a:xfrm>
            <a:off x="239244" y="4135532"/>
            <a:ext cx="4676775" cy="4171950"/>
          </a:xfrm>
          <a:prstGeom prst="rect">
            <a:avLst/>
          </a:prstGeom>
          <a:noFill/>
          <a:ln>
            <a:noFill/>
          </a:ln>
        </xdr:spPr>
      </xdr:pic>
      <xdr:sp macro="" textlink="">
        <xdr:nvSpPr>
          <xdr:cNvPr id="7" name="Rectangle 6">
            <a:extLst>
              <a:ext uri="{FF2B5EF4-FFF2-40B4-BE49-F238E27FC236}">
                <a16:creationId xmlns:a16="http://schemas.microsoft.com/office/drawing/2014/main" id="{00000000-0008-0000-0200-000007000000}"/>
              </a:ext>
            </a:extLst>
          </xdr:cNvPr>
          <xdr:cNvSpPr/>
        </xdr:nvSpPr>
        <xdr:spPr>
          <a:xfrm>
            <a:off x="1303726" y="6061743"/>
            <a:ext cx="2588559" cy="112058"/>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51972</xdr:rowOff>
    </xdr:from>
    <xdr:to>
      <xdr:col>12</xdr:col>
      <xdr:colOff>481852</xdr:colOff>
      <xdr:row>5</xdr:row>
      <xdr:rowOff>8770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23825" y="51972"/>
          <a:ext cx="7377952" cy="766423"/>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rIns="365760" rtlCol="0" anchor="ctr"/>
        <a:lstStyle/>
        <a:p>
          <a:pPr algn="r"/>
          <a:r>
            <a:rPr lang="en-US" sz="2800" b="1" baseline="0">
              <a:solidFill>
                <a:sysClr val="windowText" lastClr="000000"/>
              </a:solidFill>
            </a:rPr>
            <a:t>Employee Personal Information Form</a:t>
          </a:r>
          <a:endParaRPr lang="en-US" sz="2800" b="1">
            <a:solidFill>
              <a:sysClr val="windowText" lastClr="000000"/>
            </a:solidFill>
          </a:endParaRPr>
        </a:p>
      </xdr:txBody>
    </xdr:sp>
    <xdr:clientData/>
  </xdr:twoCellAnchor>
  <xdr:twoCellAnchor editAs="oneCell">
    <xdr:from>
      <xdr:col>8</xdr:col>
      <xdr:colOff>66675</xdr:colOff>
      <xdr:row>13</xdr:row>
      <xdr:rowOff>76982</xdr:rowOff>
    </xdr:from>
    <xdr:to>
      <xdr:col>8</xdr:col>
      <xdr:colOff>523875</xdr:colOff>
      <xdr:row>15</xdr:row>
      <xdr:rowOff>136001</xdr:rowOff>
    </xdr:to>
    <xdr:pic>
      <xdr:nvPicPr>
        <xdr:cNvPr id="7" name="Picture 6" descr="Button-Ok-icon.png">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stretch>
          <a:fillRect/>
        </a:stretch>
      </xdr:blipFill>
      <xdr:spPr>
        <a:xfrm>
          <a:off x="4648200" y="2182007"/>
          <a:ext cx="457200" cy="440019"/>
        </a:xfrm>
        <a:prstGeom prst="rect">
          <a:avLst/>
        </a:prstGeom>
        <a:ln>
          <a:noFill/>
        </a:ln>
        <a:effectLst>
          <a:outerShdw blurRad="44450" dist="27940" dir="5400000" algn="ctr">
            <a:srgbClr val="000000">
              <a:alpha val="32000"/>
            </a:srgbClr>
          </a:outerShdw>
        </a:effectLst>
      </xdr:spPr>
    </xdr:pic>
    <xdr:clientData/>
  </xdr:twoCellAnchor>
  <xdr:twoCellAnchor editAs="oneCell">
    <xdr:from>
      <xdr:col>9</xdr:col>
      <xdr:colOff>95251</xdr:colOff>
      <xdr:row>13</xdr:row>
      <xdr:rowOff>71423</xdr:rowOff>
    </xdr:from>
    <xdr:to>
      <xdr:col>9</xdr:col>
      <xdr:colOff>552449</xdr:colOff>
      <xdr:row>15</xdr:row>
      <xdr:rowOff>141560</xdr:rowOff>
    </xdr:to>
    <xdr:pic>
      <xdr:nvPicPr>
        <xdr:cNvPr id="8" name="Picture 7" descr="Green.png">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cstate="print"/>
        <a:stretch>
          <a:fillRect/>
        </a:stretch>
      </xdr:blipFill>
      <xdr:spPr>
        <a:xfrm>
          <a:off x="5286376" y="2176448"/>
          <a:ext cx="457198" cy="451137"/>
        </a:xfrm>
        <a:prstGeom prst="rect">
          <a:avLst/>
        </a:prstGeom>
      </xdr:spPr>
    </xdr:pic>
    <xdr:clientData/>
  </xdr:twoCellAnchor>
  <xdr:twoCellAnchor editAs="oneCell">
    <xdr:from>
      <xdr:col>11</xdr:col>
      <xdr:colOff>79131</xdr:colOff>
      <xdr:row>13</xdr:row>
      <xdr:rowOff>74202</xdr:rowOff>
    </xdr:from>
    <xdr:to>
      <xdr:col>11</xdr:col>
      <xdr:colOff>536331</xdr:colOff>
      <xdr:row>15</xdr:row>
      <xdr:rowOff>138781</xdr:rowOff>
    </xdr:to>
    <xdr:pic macro="[0]!next_sheet">
      <xdr:nvPicPr>
        <xdr:cNvPr id="9" name="Picture 8" descr="Next.png">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3" cstate="print"/>
        <a:stretch>
          <a:fillRect/>
        </a:stretch>
      </xdr:blipFill>
      <xdr:spPr>
        <a:xfrm>
          <a:off x="6489456" y="2179227"/>
          <a:ext cx="457200" cy="445579"/>
        </a:xfrm>
        <a:prstGeom prst="rect">
          <a:avLst/>
        </a:prstGeom>
      </xdr:spPr>
    </xdr:pic>
    <xdr:clientData fLocksWithSheet="0"/>
  </xdr:twoCellAnchor>
  <xdr:twoCellAnchor editAs="oneCell">
    <xdr:from>
      <xdr:col>10</xdr:col>
      <xdr:colOff>72537</xdr:colOff>
      <xdr:row>13</xdr:row>
      <xdr:rowOff>72939</xdr:rowOff>
    </xdr:from>
    <xdr:to>
      <xdr:col>10</xdr:col>
      <xdr:colOff>529737</xdr:colOff>
      <xdr:row>15</xdr:row>
      <xdr:rowOff>140043</xdr:rowOff>
    </xdr:to>
    <xdr:pic macro="[0]!previous_sheet">
      <xdr:nvPicPr>
        <xdr:cNvPr id="10" name="Picture 9" descr="Previous-icon.png">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4" cstate="print"/>
        <a:stretch>
          <a:fillRect/>
        </a:stretch>
      </xdr:blipFill>
      <xdr:spPr>
        <a:xfrm flipV="1">
          <a:off x="5873262" y="2177964"/>
          <a:ext cx="457200" cy="448104"/>
        </a:xfrm>
        <a:prstGeom prst="rect">
          <a:avLst/>
        </a:prstGeom>
      </xdr:spPr>
    </xdr:pic>
    <xdr:clientData fLocksWithSheet="0"/>
  </xdr:twoCellAnchor>
  <xdr:twoCellAnchor editAs="oneCell">
    <xdr:from>
      <xdr:col>11</xdr:col>
      <xdr:colOff>114300</xdr:colOff>
      <xdr:row>6</xdr:row>
      <xdr:rowOff>9525</xdr:rowOff>
    </xdr:from>
    <xdr:to>
      <xdr:col>12</xdr:col>
      <xdr:colOff>323850</xdr:colOff>
      <xdr:row>11</xdr:row>
      <xdr:rowOff>19050</xdr:rowOff>
    </xdr:to>
    <xdr:pic macro="[0]!Module1.print_Option">
      <xdr:nvPicPr>
        <xdr:cNvPr id="11" name="Picture 10" descr="printer-green.png">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cstate="print"/>
        <a:stretch>
          <a:fillRect/>
        </a:stretch>
      </xdr:blipFill>
      <xdr:spPr>
        <a:xfrm>
          <a:off x="6524625" y="981075"/>
          <a:ext cx="819150" cy="819150"/>
        </a:xfrm>
        <a:prstGeom prst="rect">
          <a:avLst/>
        </a:prstGeom>
      </xdr:spPr>
    </xdr:pic>
    <xdr:clientData fLocksWithSheet="0"/>
  </xdr:twoCellAnchor>
  <xdr:twoCellAnchor>
    <xdr:from>
      <xdr:col>1</xdr:col>
      <xdr:colOff>9525</xdr:colOff>
      <xdr:row>6</xdr:row>
      <xdr:rowOff>104775</xdr:rowOff>
    </xdr:from>
    <xdr:to>
      <xdr:col>3</xdr:col>
      <xdr:colOff>46975</xdr:colOff>
      <xdr:row>10</xdr:row>
      <xdr:rowOff>94083</xdr:rowOff>
    </xdr:to>
    <xdr:pic>
      <xdr:nvPicPr>
        <xdr:cNvPr id="12" name="Picture 5" descr="Societe Generale Global Solution Centre">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6" cstate="print"/>
        <a:stretch>
          <a:fillRect/>
        </a:stretch>
      </xdr:blipFill>
      <xdr:spPr bwMode="auto">
        <a:xfrm>
          <a:off x="133350" y="1076325"/>
          <a:ext cx="1447150" cy="637008"/>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95118</xdr:colOff>
      <xdr:row>0</xdr:row>
      <xdr:rowOff>151835</xdr:rowOff>
    </xdr:from>
    <xdr:to>
      <xdr:col>1</xdr:col>
      <xdr:colOff>1542268</xdr:colOff>
      <xdr:row>5</xdr:row>
      <xdr:rowOff>9525</xdr:rowOff>
    </xdr:to>
    <xdr:pic>
      <xdr:nvPicPr>
        <xdr:cNvPr id="2" name="Picture 5" descr="Societe Generale Global Solution Centr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stretch>
          <a:fillRect/>
        </a:stretch>
      </xdr:blipFill>
      <xdr:spPr bwMode="auto">
        <a:xfrm>
          <a:off x="190368" y="151835"/>
          <a:ext cx="1447150" cy="619690"/>
        </a:xfrm>
        <a:prstGeom prst="rect">
          <a:avLst/>
        </a:prstGeom>
        <a:noFill/>
        <a:ln w="9525">
          <a:noFill/>
          <a:miter lim="800000"/>
          <a:headEnd/>
          <a:tailEnd/>
        </a:ln>
      </xdr:spPr>
    </xdr:pic>
    <xdr:clientData/>
  </xdr:twoCellAnchor>
  <xdr:twoCellAnchor>
    <xdr:from>
      <xdr:col>6</xdr:col>
      <xdr:colOff>53091</xdr:colOff>
      <xdr:row>1</xdr:row>
      <xdr:rowOff>32635</xdr:rowOff>
    </xdr:from>
    <xdr:to>
      <xdr:col>7</xdr:col>
      <xdr:colOff>2279010</xdr:colOff>
      <xdr:row>4</xdr:row>
      <xdr:rowOff>120013</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rot="5400000">
          <a:off x="8027987" y="-693736"/>
          <a:ext cx="544578" cy="2302119"/>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editAs="oneCell">
    <xdr:from>
      <xdr:col>7</xdr:col>
      <xdr:colOff>40910</xdr:colOff>
      <xdr:row>1</xdr:row>
      <xdr:rowOff>63666</xdr:rowOff>
    </xdr:from>
    <xdr:to>
      <xdr:col>7</xdr:col>
      <xdr:colOff>500492</xdr:colOff>
      <xdr:row>4</xdr:row>
      <xdr:rowOff>50881</xdr:rowOff>
    </xdr:to>
    <xdr:pic macro="[0]!Validate_PIF">
      <xdr:nvPicPr>
        <xdr:cNvPr id="4" name="Picture 3" descr="Button-Ok-icon.png">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stretch>
          <a:fillRect/>
        </a:stretch>
      </xdr:blipFill>
      <xdr:spPr>
        <a:xfrm>
          <a:off x="7213235" y="216066"/>
          <a:ext cx="459582" cy="44441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editAs="oneCell">
    <xdr:from>
      <xdr:col>7</xdr:col>
      <xdr:colOff>625111</xdr:colOff>
      <xdr:row>1</xdr:row>
      <xdr:rowOff>78256</xdr:rowOff>
    </xdr:from>
    <xdr:to>
      <xdr:col>7</xdr:col>
      <xdr:colOff>1084691</xdr:colOff>
      <xdr:row>4</xdr:row>
      <xdr:rowOff>74391</xdr:rowOff>
    </xdr:to>
    <xdr:pic macro="[0]!Help_sheet">
      <xdr:nvPicPr>
        <xdr:cNvPr id="5" name="Picture 4" descr="Green.png">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cstate="print"/>
        <a:stretch>
          <a:fillRect/>
        </a:stretch>
      </xdr:blipFill>
      <xdr:spPr>
        <a:xfrm>
          <a:off x="7797436" y="230656"/>
          <a:ext cx="459580" cy="453335"/>
        </a:xfrm>
        <a:prstGeom prst="rect">
          <a:avLst/>
        </a:prstGeom>
      </xdr:spPr>
    </xdr:pic>
    <xdr:clientData fLocksWithSheet="0" fPrintsWithSheet="0"/>
  </xdr:twoCellAnchor>
  <xdr:twoCellAnchor editAs="oneCell">
    <xdr:from>
      <xdr:col>7</xdr:col>
      <xdr:colOff>1793510</xdr:colOff>
      <xdr:row>1</xdr:row>
      <xdr:rowOff>79936</xdr:rowOff>
    </xdr:from>
    <xdr:to>
      <xdr:col>7</xdr:col>
      <xdr:colOff>2253092</xdr:colOff>
      <xdr:row>4</xdr:row>
      <xdr:rowOff>72711</xdr:rowOff>
    </xdr:to>
    <xdr:pic macro="[0]!next_sheet">
      <xdr:nvPicPr>
        <xdr:cNvPr id="6" name="Picture 5" descr="Next.png">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cstate="print"/>
        <a:stretch>
          <a:fillRect/>
        </a:stretch>
      </xdr:blipFill>
      <xdr:spPr>
        <a:xfrm>
          <a:off x="8965835" y="232336"/>
          <a:ext cx="459582" cy="449975"/>
        </a:xfrm>
        <a:prstGeom prst="rect">
          <a:avLst/>
        </a:prstGeom>
      </xdr:spPr>
    </xdr:pic>
    <xdr:clientData fLocksWithSheet="0" fPrintsWithSheet="0"/>
  </xdr:twoCellAnchor>
  <xdr:twoCellAnchor editAs="oneCell">
    <xdr:from>
      <xdr:col>7</xdr:col>
      <xdr:colOff>1209310</xdr:colOff>
      <xdr:row>1</xdr:row>
      <xdr:rowOff>83320</xdr:rowOff>
    </xdr:from>
    <xdr:to>
      <xdr:col>7</xdr:col>
      <xdr:colOff>1668892</xdr:colOff>
      <xdr:row>4</xdr:row>
      <xdr:rowOff>69327</xdr:rowOff>
    </xdr:to>
    <xdr:pic macro="[0]!previous_sheet">
      <xdr:nvPicPr>
        <xdr:cNvPr id="7" name="Picture 6" descr="Previous-icon.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cstate="print"/>
        <a:stretch>
          <a:fillRect/>
        </a:stretch>
      </xdr:blipFill>
      <xdr:spPr>
        <a:xfrm flipV="1">
          <a:off x="8381635" y="235720"/>
          <a:ext cx="459582" cy="443207"/>
        </a:xfrm>
        <a:prstGeom prst="rect">
          <a:avLst/>
        </a:prstGeom>
      </xdr:spPr>
    </xdr:pic>
    <xdr:clientData fLocksWithSheet="0" fPrintsWithSheet="0"/>
  </xdr:twoCellAnchor>
  <xdr:twoCellAnchor editAs="oneCell">
    <xdr:from>
      <xdr:col>3</xdr:col>
      <xdr:colOff>36636</xdr:colOff>
      <xdr:row>39</xdr:row>
      <xdr:rowOff>36635</xdr:rowOff>
    </xdr:from>
    <xdr:to>
      <xdr:col>3</xdr:col>
      <xdr:colOff>432289</xdr:colOff>
      <xdr:row>41</xdr:row>
      <xdr:rowOff>168519</xdr:rowOff>
    </xdr:to>
    <xdr:pic macro="[0]!SameAsCurrent_Address">
      <xdr:nvPicPr>
        <xdr:cNvPr id="10" name="Picture 9" descr="copy-xxl.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6" cstate="print"/>
        <a:stretch>
          <a:fillRect/>
        </a:stretch>
      </xdr:blipFill>
      <xdr:spPr>
        <a:xfrm>
          <a:off x="2681655" y="6777404"/>
          <a:ext cx="395653" cy="395653"/>
        </a:xfrm>
        <a:prstGeom prst="rect">
          <a:avLst/>
        </a:prstGeom>
      </xdr:spPr>
    </xdr:pic>
    <xdr:clientData fLocksWithSheet="0"/>
  </xdr:twoCellAnchor>
  <xdr:twoCellAnchor editAs="oneCell">
    <xdr:from>
      <xdr:col>7</xdr:col>
      <xdr:colOff>28575</xdr:colOff>
      <xdr:row>39</xdr:row>
      <xdr:rowOff>28575</xdr:rowOff>
    </xdr:from>
    <xdr:to>
      <xdr:col>7</xdr:col>
      <xdr:colOff>430911</xdr:colOff>
      <xdr:row>41</xdr:row>
      <xdr:rowOff>164211</xdr:rowOff>
    </xdr:to>
    <xdr:pic macro="[0]!Edit_Address">
      <xdr:nvPicPr>
        <xdr:cNvPr id="13" name="Picture 12" descr="edi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7" cstate="print"/>
        <a:stretch>
          <a:fillRect/>
        </a:stretch>
      </xdr:blipFill>
      <xdr:spPr>
        <a:xfrm>
          <a:off x="7286625" y="6772275"/>
          <a:ext cx="402336" cy="402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114300</xdr:colOff>
      <xdr:row>0</xdr:row>
      <xdr:rowOff>180975</xdr:rowOff>
    </xdr:from>
    <xdr:to>
      <xdr:col>1</xdr:col>
      <xdr:colOff>1247775</xdr:colOff>
      <xdr:row>3</xdr:row>
      <xdr:rowOff>94845</xdr:rowOff>
    </xdr:to>
    <xdr:pic>
      <xdr:nvPicPr>
        <xdr:cNvPr id="18" name="Picture 5" descr="Societe Generale Global Solution Centre">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stretch>
          <a:fillRect/>
        </a:stretch>
      </xdr:blipFill>
      <xdr:spPr bwMode="auto">
        <a:xfrm>
          <a:off x="209550" y="180975"/>
          <a:ext cx="1133475" cy="485370"/>
        </a:xfrm>
        <a:prstGeom prst="rect">
          <a:avLst/>
        </a:prstGeom>
        <a:noFill/>
        <a:ln w="9525">
          <a:noFill/>
          <a:miter lim="800000"/>
          <a:headEnd/>
          <a:tailEnd/>
        </a:ln>
      </xdr:spPr>
    </xdr:pic>
    <xdr:clientData/>
  </xdr:twoCellAnchor>
  <xdr:twoCellAnchor>
    <xdr:from>
      <xdr:col>3</xdr:col>
      <xdr:colOff>2085975</xdr:colOff>
      <xdr:row>2</xdr:row>
      <xdr:rowOff>38344</xdr:rowOff>
    </xdr:from>
    <xdr:to>
      <xdr:col>6</xdr:col>
      <xdr:colOff>20703</xdr:colOff>
      <xdr:row>4</xdr:row>
      <xdr:rowOff>114300</xdr:rowOff>
    </xdr:to>
    <xdr:sp macro="" textlink="">
      <xdr:nvSpPr>
        <xdr:cNvPr id="31" name="Rectangle 30">
          <a:extLst>
            <a:ext uri="{FF2B5EF4-FFF2-40B4-BE49-F238E27FC236}">
              <a16:creationId xmlns:a16="http://schemas.microsoft.com/office/drawing/2014/main" id="{00000000-0008-0000-0500-00001F000000}"/>
            </a:ext>
          </a:extLst>
        </xdr:cNvPr>
        <xdr:cNvSpPr/>
      </xdr:nvSpPr>
      <xdr:spPr>
        <a:xfrm rot="16200000">
          <a:off x="6044561" y="-281692"/>
          <a:ext cx="456956" cy="1859028"/>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fLocksWithSheet="0" fPrintsWithSheet="0"/>
  </xdr:twoCellAnchor>
  <xdr:twoCellAnchor>
    <xdr:from>
      <xdr:col>3</xdr:col>
      <xdr:colOff>2135253</xdr:colOff>
      <xdr:row>2</xdr:row>
      <xdr:rowOff>89138</xdr:rowOff>
    </xdr:from>
    <xdr:to>
      <xdr:col>5</xdr:col>
      <xdr:colOff>161925</xdr:colOff>
      <xdr:row>4</xdr:row>
      <xdr:rowOff>63504</xdr:rowOff>
    </xdr:to>
    <xdr:pic macro="[0]!Module1.Validate_Admin">
      <xdr:nvPicPr>
        <xdr:cNvPr id="32" name="Picture 31" descr="Button-Ok-icon.png">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2" cstate="print"/>
        <a:stretch>
          <a:fillRect/>
        </a:stretch>
      </xdr:blipFill>
      <xdr:spPr>
        <a:xfrm>
          <a:off x="5392803" y="470138"/>
          <a:ext cx="369822" cy="355366"/>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249241</xdr:colOff>
      <xdr:row>2</xdr:row>
      <xdr:rowOff>83941</xdr:rowOff>
    </xdr:from>
    <xdr:to>
      <xdr:col>5</xdr:col>
      <xdr:colOff>619665</xdr:colOff>
      <xdr:row>4</xdr:row>
      <xdr:rowOff>68701</xdr:rowOff>
    </xdr:to>
    <xdr:pic macro="[0]!Help_sheet">
      <xdr:nvPicPr>
        <xdr:cNvPr id="33" name="Picture 32" descr="Green.png">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3" cstate="print"/>
        <a:stretch>
          <a:fillRect/>
        </a:stretch>
      </xdr:blipFill>
      <xdr:spPr>
        <a:xfrm>
          <a:off x="5849941" y="464941"/>
          <a:ext cx="370424" cy="365760"/>
        </a:xfrm>
        <a:prstGeom prst="rect">
          <a:avLst/>
        </a:prstGeom>
      </xdr:spPr>
    </xdr:pic>
    <xdr:clientData fLocksWithSheet="0" fPrintsWithSheet="0"/>
  </xdr:twoCellAnchor>
  <xdr:twoCellAnchor>
    <xdr:from>
      <xdr:col>5</xdr:col>
      <xdr:colOff>1175973</xdr:colOff>
      <xdr:row>2</xdr:row>
      <xdr:rowOff>83941</xdr:rowOff>
    </xdr:from>
    <xdr:to>
      <xdr:col>5</xdr:col>
      <xdr:colOff>1550521</xdr:colOff>
      <xdr:row>4</xdr:row>
      <xdr:rowOff>68701</xdr:rowOff>
    </xdr:to>
    <xdr:pic macro="[0]!next_sheet">
      <xdr:nvPicPr>
        <xdr:cNvPr id="34" name="Picture 33" descr="Next.png">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4" cstate="print"/>
        <a:stretch>
          <a:fillRect/>
        </a:stretch>
      </xdr:blipFill>
      <xdr:spPr>
        <a:xfrm>
          <a:off x="6776673" y="464941"/>
          <a:ext cx="374548" cy="365760"/>
        </a:xfrm>
        <a:prstGeom prst="rect">
          <a:avLst/>
        </a:prstGeom>
      </xdr:spPr>
    </xdr:pic>
    <xdr:clientData fLocksWithSheet="0" fPrintsWithSheet="0"/>
  </xdr:twoCellAnchor>
  <xdr:twoCellAnchor>
    <xdr:from>
      <xdr:col>5</xdr:col>
      <xdr:colOff>706981</xdr:colOff>
      <xdr:row>2</xdr:row>
      <xdr:rowOff>83941</xdr:rowOff>
    </xdr:from>
    <xdr:to>
      <xdr:col>5</xdr:col>
      <xdr:colOff>1088658</xdr:colOff>
      <xdr:row>4</xdr:row>
      <xdr:rowOff>68701</xdr:rowOff>
    </xdr:to>
    <xdr:pic macro="[0]!previous_sheet">
      <xdr:nvPicPr>
        <xdr:cNvPr id="35" name="Picture 34" descr="Previous-icon.png">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5" cstate="print"/>
        <a:stretch>
          <a:fillRect/>
        </a:stretch>
      </xdr:blipFill>
      <xdr:spPr>
        <a:xfrm flipV="1">
          <a:off x="6307681" y="464941"/>
          <a:ext cx="381677" cy="365760"/>
        </a:xfrm>
        <a:prstGeom prst="rect">
          <a:avLst/>
        </a:prstGeom>
      </xdr:spPr>
    </xdr:pic>
    <xdr:clientData fLocksWithSheet="0" fPrintsWithSheet="0"/>
  </xdr:twoCellAnchor>
</xdr:wsDr>
</file>

<file path=xl/drawings/drawing5.xml><?xml version="1.0" encoding="utf-8"?>
<xdr:wsDr xmlns:xdr="http://schemas.openxmlformats.org/drawingml/2006/spreadsheetDrawing" xmlns:a="http://schemas.openxmlformats.org/drawingml/2006/main">
  <xdr:twoCellAnchor>
    <xdr:from>
      <xdr:col>5</xdr:col>
      <xdr:colOff>817698</xdr:colOff>
      <xdr:row>14</xdr:row>
      <xdr:rowOff>30731</xdr:rowOff>
    </xdr:from>
    <xdr:to>
      <xdr:col>5</xdr:col>
      <xdr:colOff>1362276</xdr:colOff>
      <xdr:row>26</xdr:row>
      <xdr:rowOff>46850</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6420639" y="2484819"/>
          <a:ext cx="544578" cy="2302119"/>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xdr:from>
      <xdr:col>5</xdr:col>
      <xdr:colOff>860196</xdr:colOff>
      <xdr:row>14</xdr:row>
      <xdr:rowOff>102332</xdr:rowOff>
    </xdr:from>
    <xdr:to>
      <xdr:col>5</xdr:col>
      <xdr:colOff>1319778</xdr:colOff>
      <xdr:row>16</xdr:row>
      <xdr:rowOff>165747</xdr:rowOff>
    </xdr:to>
    <xdr:pic macro="[0]!Validate_JF">
      <xdr:nvPicPr>
        <xdr:cNvPr id="4" name="Picture 3" descr="Button-Ok-icon.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stretch>
          <a:fillRect/>
        </a:stretch>
      </xdr:blipFill>
      <xdr:spPr>
        <a:xfrm>
          <a:off x="6463137" y="2556420"/>
          <a:ext cx="459582" cy="44441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860197</xdr:colOff>
      <xdr:row>17</xdr:row>
      <xdr:rowOff>92485</xdr:rowOff>
    </xdr:from>
    <xdr:to>
      <xdr:col>5</xdr:col>
      <xdr:colOff>1319777</xdr:colOff>
      <xdr:row>19</xdr:row>
      <xdr:rowOff>164820</xdr:rowOff>
    </xdr:to>
    <xdr:pic macro="[0]!Help_sheet">
      <xdr:nvPicPr>
        <xdr:cNvPr id="5" name="Picture 4" descr="Green.png">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stretch>
          <a:fillRect/>
        </a:stretch>
      </xdr:blipFill>
      <xdr:spPr>
        <a:xfrm>
          <a:off x="6463138" y="3118073"/>
          <a:ext cx="459580" cy="453335"/>
        </a:xfrm>
        <a:prstGeom prst="rect">
          <a:avLst/>
        </a:prstGeom>
      </xdr:spPr>
    </xdr:pic>
    <xdr:clientData fLocksWithSheet="0" fPrintsWithSheet="0"/>
  </xdr:twoCellAnchor>
  <xdr:twoCellAnchor>
    <xdr:from>
      <xdr:col>5</xdr:col>
      <xdr:colOff>860196</xdr:colOff>
      <xdr:row>23</xdr:row>
      <xdr:rowOff>80502</xdr:rowOff>
    </xdr:from>
    <xdr:to>
      <xdr:col>5</xdr:col>
      <xdr:colOff>1319778</xdr:colOff>
      <xdr:row>25</xdr:row>
      <xdr:rowOff>149477</xdr:rowOff>
    </xdr:to>
    <xdr:pic macro="[0]!next_sheet">
      <xdr:nvPicPr>
        <xdr:cNvPr id="6" name="Picture 5" descr="Next.png">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cstate="print"/>
        <a:stretch>
          <a:fillRect/>
        </a:stretch>
      </xdr:blipFill>
      <xdr:spPr>
        <a:xfrm>
          <a:off x="6463137" y="4249090"/>
          <a:ext cx="459582" cy="449975"/>
        </a:xfrm>
        <a:prstGeom prst="rect">
          <a:avLst/>
        </a:prstGeom>
      </xdr:spPr>
    </xdr:pic>
    <xdr:clientData fLocksWithSheet="0" fPrintsWithSheet="0"/>
  </xdr:twoCellAnchor>
  <xdr:twoCellAnchor>
    <xdr:from>
      <xdr:col>5</xdr:col>
      <xdr:colOff>860196</xdr:colOff>
      <xdr:row>20</xdr:row>
      <xdr:rowOff>91558</xdr:rowOff>
    </xdr:from>
    <xdr:to>
      <xdr:col>5</xdr:col>
      <xdr:colOff>1319778</xdr:colOff>
      <xdr:row>22</xdr:row>
      <xdr:rowOff>153765</xdr:rowOff>
    </xdr:to>
    <xdr:pic macro="[0]!previous_sheet">
      <xdr:nvPicPr>
        <xdr:cNvPr id="7" name="Picture 6" descr="Previous-icon.png">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4" cstate="print"/>
        <a:stretch>
          <a:fillRect/>
        </a:stretch>
      </xdr:blipFill>
      <xdr:spPr>
        <a:xfrm flipV="1">
          <a:off x="6463137" y="3688646"/>
          <a:ext cx="459582" cy="443207"/>
        </a:xfrm>
        <a:prstGeom prst="rect">
          <a:avLst/>
        </a:prstGeom>
      </xdr:spPr>
    </xdr:pic>
    <xdr:clientData fLocksWithSheet="0" fPrintsWithSheet="0"/>
  </xdr:twoCellAnchor>
  <xdr:twoCellAnchor>
    <xdr:from>
      <xdr:col>1</xdr:col>
      <xdr:colOff>38100</xdr:colOff>
      <xdr:row>1</xdr:row>
      <xdr:rowOff>38100</xdr:rowOff>
    </xdr:from>
    <xdr:to>
      <xdr:col>1</xdr:col>
      <xdr:colOff>1171575</xdr:colOff>
      <xdr:row>3</xdr:row>
      <xdr:rowOff>142470</xdr:rowOff>
    </xdr:to>
    <xdr:pic>
      <xdr:nvPicPr>
        <xdr:cNvPr id="8" name="Picture 5" descr="Societe Generale Global Solution Centre">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5" cstate="print"/>
        <a:stretch>
          <a:fillRect/>
        </a:stretch>
      </xdr:blipFill>
      <xdr:spPr bwMode="auto">
        <a:xfrm>
          <a:off x="133350" y="228600"/>
          <a:ext cx="1133475" cy="48537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940962</xdr:colOff>
      <xdr:row>2</xdr:row>
      <xdr:rowOff>134470</xdr:rowOff>
    </xdr:from>
    <xdr:to>
      <xdr:col>5</xdr:col>
      <xdr:colOff>1485540</xdr:colOff>
      <xdr:row>14</xdr:row>
      <xdr:rowOff>102878</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6006021" y="515470"/>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xdr:from>
      <xdr:col>5</xdr:col>
      <xdr:colOff>983460</xdr:colOff>
      <xdr:row>3</xdr:row>
      <xdr:rowOff>10950</xdr:rowOff>
    </xdr:from>
    <xdr:to>
      <xdr:col>5</xdr:col>
      <xdr:colOff>1443042</xdr:colOff>
      <xdr:row>5</xdr:row>
      <xdr:rowOff>45685</xdr:rowOff>
    </xdr:to>
    <xdr:pic macro="[0]!Validate_RFM">
      <xdr:nvPicPr>
        <xdr:cNvPr id="4" name="Picture 3" descr="Button-Ok-icon.png">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stretch>
          <a:fillRect/>
        </a:stretch>
      </xdr:blipFill>
      <xdr:spPr>
        <a:xfrm>
          <a:off x="6048519" y="582450"/>
          <a:ext cx="459582" cy="41573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983461</xdr:colOff>
      <xdr:row>5</xdr:row>
      <xdr:rowOff>155358</xdr:rowOff>
    </xdr:from>
    <xdr:to>
      <xdr:col>5</xdr:col>
      <xdr:colOff>1443041</xdr:colOff>
      <xdr:row>8</xdr:row>
      <xdr:rowOff>108791</xdr:rowOff>
    </xdr:to>
    <xdr:pic macro="[0]!Help_sheet">
      <xdr:nvPicPr>
        <xdr:cNvPr id="5" name="Picture 4" descr="Green.png">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stretch>
          <a:fillRect/>
        </a:stretch>
      </xdr:blipFill>
      <xdr:spPr>
        <a:xfrm>
          <a:off x="6048520" y="1107858"/>
          <a:ext cx="459580" cy="424080"/>
        </a:xfrm>
        <a:prstGeom prst="rect">
          <a:avLst/>
        </a:prstGeom>
      </xdr:spPr>
    </xdr:pic>
    <xdr:clientData fLocksWithSheet="0" fPrintsWithSheet="0"/>
  </xdr:twoCellAnchor>
  <xdr:twoCellAnchor>
    <xdr:from>
      <xdr:col>5</xdr:col>
      <xdr:colOff>983460</xdr:colOff>
      <xdr:row>11</xdr:row>
      <xdr:rowOff>171239</xdr:rowOff>
    </xdr:from>
    <xdr:to>
      <xdr:col>5</xdr:col>
      <xdr:colOff>1443042</xdr:colOff>
      <xdr:row>14</xdr:row>
      <xdr:rowOff>20675</xdr:rowOff>
    </xdr:to>
    <xdr:pic macro="[0]!next_sheet">
      <xdr:nvPicPr>
        <xdr:cNvPr id="6" name="Picture 5" descr="Next.png">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3" cstate="print"/>
        <a:stretch>
          <a:fillRect/>
        </a:stretch>
      </xdr:blipFill>
      <xdr:spPr>
        <a:xfrm>
          <a:off x="6048519" y="2165886"/>
          <a:ext cx="459582" cy="420936"/>
        </a:xfrm>
        <a:prstGeom prst="rect">
          <a:avLst/>
        </a:prstGeom>
      </xdr:spPr>
    </xdr:pic>
    <xdr:clientData fLocksWithSheet="0" fPrintsWithSheet="0"/>
  </xdr:twoCellAnchor>
  <xdr:twoCellAnchor>
    <xdr:from>
      <xdr:col>5</xdr:col>
      <xdr:colOff>983460</xdr:colOff>
      <xdr:row>9</xdr:row>
      <xdr:rowOff>27963</xdr:rowOff>
    </xdr:from>
    <xdr:to>
      <xdr:col>5</xdr:col>
      <xdr:colOff>1443042</xdr:colOff>
      <xdr:row>11</xdr:row>
      <xdr:rowOff>61568</xdr:rowOff>
    </xdr:to>
    <xdr:pic macro="[0]!previous_sheet">
      <xdr:nvPicPr>
        <xdr:cNvPr id="7" name="Picture 6" descr="Previous-icon.png">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4" cstate="print"/>
        <a:stretch>
          <a:fillRect/>
        </a:stretch>
      </xdr:blipFill>
      <xdr:spPr>
        <a:xfrm flipV="1">
          <a:off x="6048519" y="1641610"/>
          <a:ext cx="459582" cy="414605"/>
        </a:xfrm>
        <a:prstGeom prst="rect">
          <a:avLst/>
        </a:prstGeom>
      </xdr:spPr>
    </xdr:pic>
    <xdr:clientData fLocksWithSheet="0" fPrintsWithSheet="0"/>
  </xdr:twoCellAnchor>
  <xdr:twoCellAnchor>
    <xdr:from>
      <xdr:col>1</xdr:col>
      <xdr:colOff>38100</xdr:colOff>
      <xdr:row>1</xdr:row>
      <xdr:rowOff>38100</xdr:rowOff>
    </xdr:from>
    <xdr:to>
      <xdr:col>1</xdr:col>
      <xdr:colOff>1171575</xdr:colOff>
      <xdr:row>3</xdr:row>
      <xdr:rowOff>142470</xdr:rowOff>
    </xdr:to>
    <xdr:pic>
      <xdr:nvPicPr>
        <xdr:cNvPr id="8" name="Picture 5" descr="Societe Generale Global Solution Centre">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5" cstate="print"/>
        <a:stretch>
          <a:fillRect/>
        </a:stretch>
      </xdr:blipFill>
      <xdr:spPr bwMode="auto">
        <a:xfrm>
          <a:off x="133350" y="228600"/>
          <a:ext cx="1133475" cy="48537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721178</xdr:colOff>
      <xdr:row>1</xdr:row>
      <xdr:rowOff>54428</xdr:rowOff>
    </xdr:from>
    <xdr:to>
      <xdr:col>10</xdr:col>
      <xdr:colOff>258537</xdr:colOff>
      <xdr:row>3</xdr:row>
      <xdr:rowOff>149675</xdr:rowOff>
    </xdr:to>
    <xdr:sp macro="" textlink="">
      <xdr:nvSpPr>
        <xdr:cNvPr id="13" name="Rectangle 12">
          <a:extLst>
            <a:ext uri="{FF2B5EF4-FFF2-40B4-BE49-F238E27FC236}">
              <a16:creationId xmlns:a16="http://schemas.microsoft.com/office/drawing/2014/main" id="{00000000-0008-0000-0800-00000D000000}"/>
            </a:ext>
          </a:extLst>
        </xdr:cNvPr>
        <xdr:cNvSpPr/>
      </xdr:nvSpPr>
      <xdr:spPr>
        <a:xfrm rot="16200000">
          <a:off x="8824234" y="-809628"/>
          <a:ext cx="544283" cy="2435681"/>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fLocksWithSheet="0" fPrintsWithSheet="0"/>
  </xdr:twoCellAnchor>
  <xdr:twoCellAnchor>
    <xdr:from>
      <xdr:col>8</xdr:col>
      <xdr:colOff>770457</xdr:colOff>
      <xdr:row>1</xdr:row>
      <xdr:rowOff>102725</xdr:rowOff>
    </xdr:from>
    <xdr:to>
      <xdr:col>9</xdr:col>
      <xdr:colOff>324677</xdr:colOff>
      <xdr:row>3</xdr:row>
      <xdr:rowOff>101377</xdr:rowOff>
    </xdr:to>
    <xdr:pic macro="[0]!Module1.Validate_Insurance">
      <xdr:nvPicPr>
        <xdr:cNvPr id="14" name="Picture 13" descr="Button-Ok-icon.png">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1" cstate="print"/>
        <a:stretch>
          <a:fillRect/>
        </a:stretch>
      </xdr:blipFill>
      <xdr:spPr>
        <a:xfrm>
          <a:off x="7927814" y="184368"/>
          <a:ext cx="465899" cy="447688"/>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9</xdr:col>
      <xdr:colOff>459979</xdr:colOff>
      <xdr:row>1</xdr:row>
      <xdr:rowOff>96178</xdr:rowOff>
    </xdr:from>
    <xdr:to>
      <xdr:col>9</xdr:col>
      <xdr:colOff>926637</xdr:colOff>
      <xdr:row>3</xdr:row>
      <xdr:rowOff>107924</xdr:rowOff>
    </xdr:to>
    <xdr:pic macro="[0]!Help_sheet">
      <xdr:nvPicPr>
        <xdr:cNvPr id="15" name="Picture 14" descr="Green.png">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2" cstate="print"/>
        <a:stretch>
          <a:fillRect/>
        </a:stretch>
      </xdr:blipFill>
      <xdr:spPr>
        <a:xfrm>
          <a:off x="8529015" y="177821"/>
          <a:ext cx="466658" cy="460782"/>
        </a:xfrm>
        <a:prstGeom prst="rect">
          <a:avLst/>
        </a:prstGeom>
      </xdr:spPr>
    </xdr:pic>
    <xdr:clientData fLocksWithSheet="0" fPrintsWithSheet="0"/>
  </xdr:twoCellAnchor>
  <xdr:twoCellAnchor>
    <xdr:from>
      <xdr:col>9</xdr:col>
      <xdr:colOff>1678075</xdr:colOff>
      <xdr:row>1</xdr:row>
      <xdr:rowOff>96178</xdr:rowOff>
    </xdr:from>
    <xdr:to>
      <xdr:col>10</xdr:col>
      <xdr:colOff>163285</xdr:colOff>
      <xdr:row>3</xdr:row>
      <xdr:rowOff>107924</xdr:rowOff>
    </xdr:to>
    <xdr:pic macro="[0]!next_sheet">
      <xdr:nvPicPr>
        <xdr:cNvPr id="16" name="Picture 15" descr="Next.png">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3" cstate="print"/>
        <a:stretch>
          <a:fillRect/>
        </a:stretch>
      </xdr:blipFill>
      <xdr:spPr>
        <a:xfrm>
          <a:off x="9747111" y="177821"/>
          <a:ext cx="471853" cy="460782"/>
        </a:xfrm>
        <a:prstGeom prst="rect">
          <a:avLst/>
        </a:prstGeom>
      </xdr:spPr>
    </xdr:pic>
    <xdr:clientData fLocksWithSheet="0" fPrintsWithSheet="0"/>
  </xdr:twoCellAnchor>
  <xdr:twoCellAnchor>
    <xdr:from>
      <xdr:col>9</xdr:col>
      <xdr:colOff>1061939</xdr:colOff>
      <xdr:row>1</xdr:row>
      <xdr:rowOff>96178</xdr:rowOff>
    </xdr:from>
    <xdr:to>
      <xdr:col>9</xdr:col>
      <xdr:colOff>1542774</xdr:colOff>
      <xdr:row>3</xdr:row>
      <xdr:rowOff>107924</xdr:rowOff>
    </xdr:to>
    <xdr:pic macro="[0]!previous_sheet">
      <xdr:nvPicPr>
        <xdr:cNvPr id="17" name="Picture 16" descr="Previous-icon.png">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4" cstate="print"/>
        <a:stretch>
          <a:fillRect/>
        </a:stretch>
      </xdr:blipFill>
      <xdr:spPr>
        <a:xfrm flipV="1">
          <a:off x="9130975" y="177821"/>
          <a:ext cx="480835" cy="460782"/>
        </a:xfrm>
        <a:prstGeom prst="rect">
          <a:avLst/>
        </a:prstGeom>
      </xdr:spPr>
    </xdr:pic>
    <xdr:clientData fLocksWithSheet="0" fPrintsWithSheet="0"/>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1</xdr:col>
      <xdr:colOff>571500</xdr:colOff>
      <xdr:row>4</xdr:row>
      <xdr:rowOff>85725</xdr:rowOff>
    </xdr:to>
    <xdr:pic>
      <xdr:nvPicPr>
        <xdr:cNvPr id="2" name="Picture 2">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38100"/>
          <a:ext cx="914400" cy="819150"/>
        </a:xfrm>
        <a:prstGeom prst="rect">
          <a:avLst/>
        </a:prstGeom>
        <a:noFill/>
        <a:ln w="9525">
          <a:noFill/>
          <a:miter lim="800000"/>
          <a:headEnd/>
          <a:tailEnd/>
        </a:ln>
      </xdr:spPr>
    </xdr:pic>
    <xdr:clientData/>
  </xdr:twoCellAnchor>
  <xdr:twoCellAnchor>
    <xdr:from>
      <xdr:col>1</xdr:col>
      <xdr:colOff>95250</xdr:colOff>
      <xdr:row>51</xdr:row>
      <xdr:rowOff>133350</xdr:rowOff>
    </xdr:from>
    <xdr:to>
      <xdr:col>4</xdr:col>
      <xdr:colOff>790575</xdr:colOff>
      <xdr:row>53</xdr:row>
      <xdr:rowOff>190500</xdr:rowOff>
    </xdr:to>
    <xdr:cxnSp macro="">
      <xdr:nvCxnSpPr>
        <xdr:cNvPr id="3" name="Straight Connector 2">
          <a:extLst>
            <a:ext uri="{FF2B5EF4-FFF2-40B4-BE49-F238E27FC236}">
              <a16:creationId xmlns:a16="http://schemas.microsoft.com/office/drawing/2014/main" id="{00000000-0008-0000-0900-000003000000}"/>
            </a:ext>
          </a:extLst>
        </xdr:cNvPr>
        <xdr:cNvCxnSpPr/>
      </xdr:nvCxnSpPr>
      <xdr:spPr bwMode="auto">
        <a:xfrm flipV="1">
          <a:off x="485775" y="16011525"/>
          <a:ext cx="2552700" cy="514350"/>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219075</xdr:colOff>
      <xdr:row>51</xdr:row>
      <xdr:rowOff>133350</xdr:rowOff>
    </xdr:from>
    <xdr:to>
      <xdr:col>6</xdr:col>
      <xdr:colOff>647700</xdr:colOff>
      <xdr:row>53</xdr:row>
      <xdr:rowOff>152400</xdr:rowOff>
    </xdr:to>
    <xdr:cxnSp macro="">
      <xdr:nvCxnSpPr>
        <xdr:cNvPr id="4" name="Straight Connector 5">
          <a:extLst>
            <a:ext uri="{FF2B5EF4-FFF2-40B4-BE49-F238E27FC236}">
              <a16:creationId xmlns:a16="http://schemas.microsoft.com/office/drawing/2014/main" id="{00000000-0008-0000-0900-000004000000}"/>
            </a:ext>
          </a:extLst>
        </xdr:cNvPr>
        <xdr:cNvCxnSpPr>
          <a:cxnSpLocks noChangeShapeType="1"/>
        </xdr:cNvCxnSpPr>
      </xdr:nvCxnSpPr>
      <xdr:spPr bwMode="auto">
        <a:xfrm flipV="1">
          <a:off x="3505200" y="16011525"/>
          <a:ext cx="1323975" cy="476250"/>
        </a:xfrm>
        <a:prstGeom prst="line">
          <a:avLst/>
        </a:prstGeom>
        <a:noFill/>
        <a:ln w="9525" algn="ctr">
          <a:noFill/>
          <a:round/>
          <a:headEnd/>
          <a:tailEnd/>
        </a:ln>
      </xdr:spPr>
    </xdr:cxnSp>
    <xdr:clientData/>
  </xdr:twoCellAnchor>
  <xdr:twoCellAnchor>
    <xdr:from>
      <xdr:col>5</xdr:col>
      <xdr:colOff>219075</xdr:colOff>
      <xdr:row>51</xdr:row>
      <xdr:rowOff>152400</xdr:rowOff>
    </xdr:from>
    <xdr:to>
      <xdr:col>6</xdr:col>
      <xdr:colOff>733425</xdr:colOff>
      <xdr:row>53</xdr:row>
      <xdr:rowOff>190501</xdr:rowOff>
    </xdr:to>
    <xdr:cxnSp macro="">
      <xdr:nvCxnSpPr>
        <xdr:cNvPr id="5" name="Straight Connector 4">
          <a:extLst>
            <a:ext uri="{FF2B5EF4-FFF2-40B4-BE49-F238E27FC236}">
              <a16:creationId xmlns:a16="http://schemas.microsoft.com/office/drawing/2014/main" id="{00000000-0008-0000-0900-000005000000}"/>
            </a:ext>
          </a:extLst>
        </xdr:cNvPr>
        <xdr:cNvCxnSpPr/>
      </xdr:nvCxnSpPr>
      <xdr:spPr bwMode="auto">
        <a:xfrm flipV="1">
          <a:off x="3505200" y="16030575"/>
          <a:ext cx="1409700" cy="49530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161925</xdr:colOff>
      <xdr:row>51</xdr:row>
      <xdr:rowOff>161925</xdr:rowOff>
    </xdr:from>
    <xdr:to>
      <xdr:col>7</xdr:col>
      <xdr:colOff>1400175</xdr:colOff>
      <xdr:row>53</xdr:row>
      <xdr:rowOff>200026</xdr:rowOff>
    </xdr:to>
    <xdr:cxnSp macro="">
      <xdr:nvCxnSpPr>
        <xdr:cNvPr id="6" name="Straight Connector 5">
          <a:extLst>
            <a:ext uri="{FF2B5EF4-FFF2-40B4-BE49-F238E27FC236}">
              <a16:creationId xmlns:a16="http://schemas.microsoft.com/office/drawing/2014/main" id="{00000000-0008-0000-0900-000006000000}"/>
            </a:ext>
          </a:extLst>
        </xdr:cNvPr>
        <xdr:cNvCxnSpPr/>
      </xdr:nvCxnSpPr>
      <xdr:spPr bwMode="auto">
        <a:xfrm flipV="1">
          <a:off x="5486400" y="16040100"/>
          <a:ext cx="1238250" cy="49530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885265</xdr:colOff>
      <xdr:row>0</xdr:row>
      <xdr:rowOff>112059</xdr:rowOff>
    </xdr:from>
    <xdr:to>
      <xdr:col>8</xdr:col>
      <xdr:colOff>1429843</xdr:colOff>
      <xdr:row>10</xdr:row>
      <xdr:rowOff>125290</xdr:rowOff>
    </xdr:to>
    <xdr:sp macro="" textlink="">
      <xdr:nvSpPr>
        <xdr:cNvPr id="8" name="Rectangle 7">
          <a:extLst>
            <a:ext uri="{FF2B5EF4-FFF2-40B4-BE49-F238E27FC236}">
              <a16:creationId xmlns:a16="http://schemas.microsoft.com/office/drawing/2014/main" id="{00000000-0008-0000-0900-000008000000}"/>
            </a:ext>
          </a:extLst>
        </xdr:cNvPr>
        <xdr:cNvSpPr/>
      </xdr:nvSpPr>
      <xdr:spPr>
        <a:xfrm>
          <a:off x="7900147" y="112059"/>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8</xdr:col>
      <xdr:colOff>927763</xdr:colOff>
      <xdr:row>0</xdr:row>
      <xdr:rowOff>179039</xdr:rowOff>
    </xdr:from>
    <xdr:to>
      <xdr:col>8</xdr:col>
      <xdr:colOff>1387345</xdr:colOff>
      <xdr:row>2</xdr:row>
      <xdr:rowOff>90509</xdr:rowOff>
    </xdr:to>
    <xdr:pic macro="[0]!Module1.Validate_PF">
      <xdr:nvPicPr>
        <xdr:cNvPr id="9" name="Picture 8" descr="Button-Ok-icon.png">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2" cstate="print"/>
        <a:stretch>
          <a:fillRect/>
        </a:stretch>
      </xdr:blipFill>
      <xdr:spPr>
        <a:xfrm>
          <a:off x="7942645" y="179039"/>
          <a:ext cx="459582" cy="415735"/>
        </a:xfrm>
        <a:prstGeom prst="rect">
          <a:avLst/>
        </a:prstGeom>
        <a:ln>
          <a:noFill/>
        </a:ln>
        <a:effectLst>
          <a:outerShdw blurRad="44450" dist="27940" dir="5400000" algn="ctr">
            <a:srgbClr val="000000">
              <a:alpha val="32000"/>
            </a:srgbClr>
          </a:outerShdw>
        </a:effectLst>
      </xdr:spPr>
    </xdr:pic>
    <xdr:clientData/>
  </xdr:twoCellAnchor>
  <xdr:twoCellAnchor>
    <xdr:from>
      <xdr:col>8</xdr:col>
      <xdr:colOff>927764</xdr:colOff>
      <xdr:row>3</xdr:row>
      <xdr:rowOff>65712</xdr:rowOff>
    </xdr:from>
    <xdr:to>
      <xdr:col>8</xdr:col>
      <xdr:colOff>1387344</xdr:colOff>
      <xdr:row>4</xdr:row>
      <xdr:rowOff>344115</xdr:rowOff>
    </xdr:to>
    <xdr:pic macro="[0]!Help_sheet">
      <xdr:nvPicPr>
        <xdr:cNvPr id="10" name="Picture 9" descr="Green.png">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3" cstate="print"/>
        <a:stretch>
          <a:fillRect/>
        </a:stretch>
      </xdr:blipFill>
      <xdr:spPr>
        <a:xfrm>
          <a:off x="7942646" y="704447"/>
          <a:ext cx="459580" cy="424080"/>
        </a:xfrm>
        <a:prstGeom prst="rect">
          <a:avLst/>
        </a:prstGeom>
      </xdr:spPr>
    </xdr:pic>
    <xdr:clientData/>
  </xdr:twoCellAnchor>
  <xdr:twoCellAnchor>
    <xdr:from>
      <xdr:col>8</xdr:col>
      <xdr:colOff>927763</xdr:colOff>
      <xdr:row>7</xdr:row>
      <xdr:rowOff>126416</xdr:rowOff>
    </xdr:from>
    <xdr:to>
      <xdr:col>8</xdr:col>
      <xdr:colOff>1387345</xdr:colOff>
      <xdr:row>10</xdr:row>
      <xdr:rowOff>43087</xdr:rowOff>
    </xdr:to>
    <xdr:pic macro="[0]!next_sheet">
      <xdr:nvPicPr>
        <xdr:cNvPr id="11" name="Picture 10" descr="Next.png">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4" cstate="print"/>
        <a:stretch>
          <a:fillRect/>
        </a:stretch>
      </xdr:blipFill>
      <xdr:spPr>
        <a:xfrm>
          <a:off x="7942645" y="1762475"/>
          <a:ext cx="459582" cy="420936"/>
        </a:xfrm>
        <a:prstGeom prst="rect">
          <a:avLst/>
        </a:prstGeom>
      </xdr:spPr>
    </xdr:pic>
    <xdr:clientData/>
  </xdr:twoCellAnchor>
  <xdr:twoCellAnchor>
    <xdr:from>
      <xdr:col>8</xdr:col>
      <xdr:colOff>927763</xdr:colOff>
      <xdr:row>4</xdr:row>
      <xdr:rowOff>453787</xdr:rowOff>
    </xdr:from>
    <xdr:to>
      <xdr:col>8</xdr:col>
      <xdr:colOff>1387345</xdr:colOff>
      <xdr:row>7</xdr:row>
      <xdr:rowOff>16745</xdr:rowOff>
    </xdr:to>
    <xdr:pic macro="[0]!previous_sheet">
      <xdr:nvPicPr>
        <xdr:cNvPr id="12" name="Picture 11" descr="Previous-icon.png">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cstate="print"/>
        <a:stretch>
          <a:fillRect/>
        </a:stretch>
      </xdr:blipFill>
      <xdr:spPr>
        <a:xfrm flipV="1">
          <a:off x="7942645" y="1238199"/>
          <a:ext cx="459582" cy="41460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9</xdr:col>
      <xdr:colOff>112647</xdr:colOff>
      <xdr:row>2</xdr:row>
      <xdr:rowOff>38100</xdr:rowOff>
    </xdr:from>
    <xdr:to>
      <xdr:col>10</xdr:col>
      <xdr:colOff>47624</xdr:colOff>
      <xdr:row>6</xdr:row>
      <xdr:rowOff>610505</xdr:rowOff>
    </xdr:to>
    <xdr:sp macro="" textlink="">
      <xdr:nvSpPr>
        <xdr:cNvPr id="3" name="Rectangle 2">
          <a:extLst>
            <a:ext uri="{FF2B5EF4-FFF2-40B4-BE49-F238E27FC236}">
              <a16:creationId xmlns:a16="http://schemas.microsoft.com/office/drawing/2014/main" id="{00000000-0008-0000-0A00-000003000000}"/>
            </a:ext>
          </a:extLst>
        </xdr:cNvPr>
        <xdr:cNvSpPr/>
      </xdr:nvSpPr>
      <xdr:spPr>
        <a:xfrm>
          <a:off x="6246747" y="352425"/>
          <a:ext cx="544577"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9</xdr:col>
      <xdr:colOff>155145</xdr:colOff>
      <xdr:row>2</xdr:row>
      <xdr:rowOff>105080</xdr:rowOff>
    </xdr:from>
    <xdr:to>
      <xdr:col>10</xdr:col>
      <xdr:colOff>5126</xdr:colOff>
      <xdr:row>4</xdr:row>
      <xdr:rowOff>168390</xdr:rowOff>
    </xdr:to>
    <xdr:pic macro="[0]!Module1.Validate_Gratuity">
      <xdr:nvPicPr>
        <xdr:cNvPr id="4" name="Picture 3" descr="Button-Ok-icon.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cstate="print"/>
        <a:stretch>
          <a:fillRect/>
        </a:stretch>
      </xdr:blipFill>
      <xdr:spPr>
        <a:xfrm>
          <a:off x="6289245" y="419405"/>
          <a:ext cx="459581" cy="415735"/>
        </a:xfrm>
        <a:prstGeom prst="rect">
          <a:avLst/>
        </a:prstGeom>
        <a:ln>
          <a:noFill/>
        </a:ln>
        <a:effectLst>
          <a:outerShdw blurRad="44450" dist="27940" dir="5400000" algn="ctr">
            <a:srgbClr val="000000">
              <a:alpha val="32000"/>
            </a:srgbClr>
          </a:outerShdw>
        </a:effectLst>
      </xdr:spPr>
    </xdr:pic>
    <xdr:clientData/>
  </xdr:twoCellAnchor>
  <xdr:twoCellAnchor>
    <xdr:from>
      <xdr:col>9</xdr:col>
      <xdr:colOff>155146</xdr:colOff>
      <xdr:row>4</xdr:row>
      <xdr:rowOff>278063</xdr:rowOff>
    </xdr:from>
    <xdr:to>
      <xdr:col>10</xdr:col>
      <xdr:colOff>5125</xdr:colOff>
      <xdr:row>4</xdr:row>
      <xdr:rowOff>702143</xdr:rowOff>
    </xdr:to>
    <xdr:pic macro="[0]!Help_sheet">
      <xdr:nvPicPr>
        <xdr:cNvPr id="5" name="Picture 4" descr="Green.pn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stretch>
          <a:fillRect/>
        </a:stretch>
      </xdr:blipFill>
      <xdr:spPr>
        <a:xfrm>
          <a:off x="6289246" y="944813"/>
          <a:ext cx="459579" cy="424080"/>
        </a:xfrm>
        <a:prstGeom prst="rect">
          <a:avLst/>
        </a:prstGeom>
      </xdr:spPr>
    </xdr:pic>
    <xdr:clientData/>
  </xdr:twoCellAnchor>
  <xdr:twoCellAnchor>
    <xdr:from>
      <xdr:col>9</xdr:col>
      <xdr:colOff>155145</xdr:colOff>
      <xdr:row>6</xdr:row>
      <xdr:rowOff>107366</xdr:rowOff>
    </xdr:from>
    <xdr:to>
      <xdr:col>10</xdr:col>
      <xdr:colOff>5126</xdr:colOff>
      <xdr:row>6</xdr:row>
      <xdr:rowOff>528302</xdr:rowOff>
    </xdr:to>
    <xdr:pic macro="[0]!next_sheet">
      <xdr:nvPicPr>
        <xdr:cNvPr id="6" name="Picture 5" descr="Next.png">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3" cstate="print"/>
        <a:stretch>
          <a:fillRect/>
        </a:stretch>
      </xdr:blipFill>
      <xdr:spPr>
        <a:xfrm>
          <a:off x="6289245" y="2002841"/>
          <a:ext cx="459581" cy="420936"/>
        </a:xfrm>
        <a:prstGeom prst="rect">
          <a:avLst/>
        </a:prstGeom>
      </xdr:spPr>
    </xdr:pic>
    <xdr:clientData/>
  </xdr:twoCellAnchor>
  <xdr:twoCellAnchor>
    <xdr:from>
      <xdr:col>9</xdr:col>
      <xdr:colOff>155145</xdr:colOff>
      <xdr:row>4</xdr:row>
      <xdr:rowOff>811815</xdr:rowOff>
    </xdr:from>
    <xdr:to>
      <xdr:col>10</xdr:col>
      <xdr:colOff>5126</xdr:colOff>
      <xdr:row>5</xdr:row>
      <xdr:rowOff>292970</xdr:rowOff>
    </xdr:to>
    <xdr:pic macro="[0]!previous_sheet">
      <xdr:nvPicPr>
        <xdr:cNvPr id="7" name="Picture 6" descr="Previous-icon.png">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4" cstate="print"/>
        <a:stretch>
          <a:fillRect/>
        </a:stretch>
      </xdr:blipFill>
      <xdr:spPr>
        <a:xfrm flipV="1">
          <a:off x="6289245" y="1478565"/>
          <a:ext cx="459581" cy="414605"/>
        </a:xfrm>
        <a:prstGeom prst="rect">
          <a:avLst/>
        </a:prstGeom>
      </xdr:spPr>
    </xdr:pic>
    <xdr:clientData fLocksWithSheet="0" fPrintsWithSheet="0"/>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400050</xdr:colOff>
          <xdr:row>8</xdr:row>
          <xdr:rowOff>390525</xdr:rowOff>
        </xdr:from>
        <xdr:to>
          <xdr:col>5</xdr:col>
          <xdr:colOff>47625</xdr:colOff>
          <xdr:row>10</xdr:row>
          <xdr:rowOff>47625</xdr:rowOff>
        </xdr:to>
        <xdr:sp macro="" textlink="">
          <xdr:nvSpPr>
            <xdr:cNvPr id="50177" name="Check Box 1" hidden="1">
              <a:extLst>
                <a:ext uri="{63B3BB69-23CF-44E3-9099-C40C66FF867C}">
                  <a14:compatExt spid="_x0000_s50177"/>
                </a:ext>
                <a:ext uri="{FF2B5EF4-FFF2-40B4-BE49-F238E27FC236}">
                  <a16:creationId xmlns:a16="http://schemas.microsoft.com/office/drawing/2014/main" id="{00000000-0008-0000-0B00-00000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9</xdr:row>
          <xdr:rowOff>0</xdr:rowOff>
        </xdr:from>
        <xdr:to>
          <xdr:col>6</xdr:col>
          <xdr:colOff>600075</xdr:colOff>
          <xdr:row>10</xdr:row>
          <xdr:rowOff>28575</xdr:rowOff>
        </xdr:to>
        <xdr:sp macro="" textlink="">
          <xdr:nvSpPr>
            <xdr:cNvPr id="50178" name="Check Box 2" hidden="1">
              <a:extLst>
                <a:ext uri="{63B3BB69-23CF-44E3-9099-C40C66FF867C}">
                  <a14:compatExt spid="_x0000_s50178"/>
                </a:ext>
                <a:ext uri="{FF2B5EF4-FFF2-40B4-BE49-F238E27FC236}">
                  <a16:creationId xmlns:a16="http://schemas.microsoft.com/office/drawing/2014/main" id="{00000000-0008-0000-0B00-00000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171450</xdr:rowOff>
        </xdr:from>
        <xdr:to>
          <xdr:col>4</xdr:col>
          <xdr:colOff>342900</xdr:colOff>
          <xdr:row>47</xdr:row>
          <xdr:rowOff>9525</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B00-00000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46</xdr:row>
          <xdr:rowOff>171450</xdr:rowOff>
        </xdr:from>
        <xdr:to>
          <xdr:col>4</xdr:col>
          <xdr:colOff>342900</xdr:colOff>
          <xdr:row>48</xdr:row>
          <xdr:rowOff>9525</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B00-00000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47</xdr:row>
          <xdr:rowOff>171450</xdr:rowOff>
        </xdr:from>
        <xdr:to>
          <xdr:col>4</xdr:col>
          <xdr:colOff>342900</xdr:colOff>
          <xdr:row>49</xdr:row>
          <xdr:rowOff>9525</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53</xdr:row>
          <xdr:rowOff>66675</xdr:rowOff>
        </xdr:from>
        <xdr:to>
          <xdr:col>4</xdr:col>
          <xdr:colOff>323850</xdr:colOff>
          <xdr:row>53</xdr:row>
          <xdr:rowOff>285750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54</xdr:row>
          <xdr:rowOff>85725</xdr:rowOff>
        </xdr:from>
        <xdr:to>
          <xdr:col>4</xdr:col>
          <xdr:colOff>323850</xdr:colOff>
          <xdr:row>54</xdr:row>
          <xdr:rowOff>304800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B00-00000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163286</xdr:colOff>
      <xdr:row>4</xdr:row>
      <xdr:rowOff>40821</xdr:rowOff>
    </xdr:from>
    <xdr:to>
      <xdr:col>8</xdr:col>
      <xdr:colOff>707864</xdr:colOff>
      <xdr:row>12</xdr:row>
      <xdr:rowOff>153305</xdr:rowOff>
    </xdr:to>
    <xdr:sp macro="" textlink="">
      <xdr:nvSpPr>
        <xdr:cNvPr id="3" name="Rectangle 2">
          <a:extLst>
            <a:ext uri="{FF2B5EF4-FFF2-40B4-BE49-F238E27FC236}">
              <a16:creationId xmlns:a16="http://schemas.microsoft.com/office/drawing/2014/main" id="{00000000-0008-0000-0C00-000003000000}"/>
            </a:ext>
          </a:extLst>
        </xdr:cNvPr>
        <xdr:cNvSpPr/>
      </xdr:nvSpPr>
      <xdr:spPr>
        <a:xfrm>
          <a:off x="7266215" y="693964"/>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PrintsWithSheet="0"/>
  </xdr:twoCellAnchor>
  <xdr:twoCellAnchor>
    <xdr:from>
      <xdr:col>8</xdr:col>
      <xdr:colOff>205784</xdr:colOff>
      <xdr:row>4</xdr:row>
      <xdr:rowOff>107801</xdr:rowOff>
    </xdr:from>
    <xdr:to>
      <xdr:col>8</xdr:col>
      <xdr:colOff>665366</xdr:colOff>
      <xdr:row>5</xdr:row>
      <xdr:rowOff>196965</xdr:rowOff>
    </xdr:to>
    <xdr:pic macro="[0]!Validate_FR1">
      <xdr:nvPicPr>
        <xdr:cNvPr id="4" name="Picture 3" descr="Button-Ok-icon.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stretch>
          <a:fillRect/>
        </a:stretch>
      </xdr:blipFill>
      <xdr:spPr>
        <a:xfrm>
          <a:off x="7308713" y="760944"/>
          <a:ext cx="459582" cy="415735"/>
        </a:xfrm>
        <a:prstGeom prst="rect">
          <a:avLst/>
        </a:prstGeom>
        <a:ln>
          <a:noFill/>
        </a:ln>
        <a:effectLst>
          <a:outerShdw blurRad="44450" dist="27940" dir="5400000" algn="ctr">
            <a:srgbClr val="000000">
              <a:alpha val="32000"/>
            </a:srgbClr>
          </a:outerShdw>
        </a:effectLst>
      </xdr:spPr>
    </xdr:pic>
    <xdr:clientData fPrintsWithSheet="0"/>
  </xdr:twoCellAnchor>
  <xdr:twoCellAnchor>
    <xdr:from>
      <xdr:col>8</xdr:col>
      <xdr:colOff>205785</xdr:colOff>
      <xdr:row>5</xdr:row>
      <xdr:rowOff>306638</xdr:rowOff>
    </xdr:from>
    <xdr:to>
      <xdr:col>8</xdr:col>
      <xdr:colOff>665365</xdr:colOff>
      <xdr:row>7</xdr:row>
      <xdr:rowOff>172825</xdr:rowOff>
    </xdr:to>
    <xdr:pic macro="[0]!Help_sheet">
      <xdr:nvPicPr>
        <xdr:cNvPr id="5" name="Picture 4" descr="Green.png">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cstate="print"/>
        <a:stretch>
          <a:fillRect/>
        </a:stretch>
      </xdr:blipFill>
      <xdr:spPr>
        <a:xfrm>
          <a:off x="7308714" y="1286352"/>
          <a:ext cx="459580" cy="424080"/>
        </a:xfrm>
        <a:prstGeom prst="rect">
          <a:avLst/>
        </a:prstGeom>
      </xdr:spPr>
    </xdr:pic>
    <xdr:clientData fPrintsWithSheet="0"/>
  </xdr:twoCellAnchor>
  <xdr:twoCellAnchor>
    <xdr:from>
      <xdr:col>8</xdr:col>
      <xdr:colOff>205784</xdr:colOff>
      <xdr:row>10</xdr:row>
      <xdr:rowOff>112809</xdr:rowOff>
    </xdr:from>
    <xdr:to>
      <xdr:col>8</xdr:col>
      <xdr:colOff>665366</xdr:colOff>
      <xdr:row>12</xdr:row>
      <xdr:rowOff>71102</xdr:rowOff>
    </xdr:to>
    <xdr:pic macro="[0]!next_sheet">
      <xdr:nvPicPr>
        <xdr:cNvPr id="6" name="Picture 5" descr="Next.png">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3" cstate="print"/>
        <a:stretch>
          <a:fillRect/>
        </a:stretch>
      </xdr:blipFill>
      <xdr:spPr>
        <a:xfrm>
          <a:off x="7308713" y="2344380"/>
          <a:ext cx="459582" cy="420936"/>
        </a:xfrm>
        <a:prstGeom prst="rect">
          <a:avLst/>
        </a:prstGeom>
      </xdr:spPr>
    </xdr:pic>
    <xdr:clientData fPrintsWithSheet="0"/>
  </xdr:twoCellAnchor>
  <xdr:twoCellAnchor>
    <xdr:from>
      <xdr:col>8</xdr:col>
      <xdr:colOff>205784</xdr:colOff>
      <xdr:row>8</xdr:row>
      <xdr:rowOff>51175</xdr:rowOff>
    </xdr:from>
    <xdr:to>
      <xdr:col>8</xdr:col>
      <xdr:colOff>665366</xdr:colOff>
      <xdr:row>10</xdr:row>
      <xdr:rowOff>3138</xdr:rowOff>
    </xdr:to>
    <xdr:pic macro="[0]!previous_sheet">
      <xdr:nvPicPr>
        <xdr:cNvPr id="7" name="Picture 6" descr="Previous-icon.png">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4" cstate="print"/>
        <a:stretch>
          <a:fillRect/>
        </a:stretch>
      </xdr:blipFill>
      <xdr:spPr>
        <a:xfrm flipV="1">
          <a:off x="7308713" y="1820104"/>
          <a:ext cx="459582" cy="414605"/>
        </a:xfrm>
        <a:prstGeom prst="rect">
          <a:avLst/>
        </a:prstGeom>
      </xdr:spPr>
    </xdr:pic>
    <xdr:clientData fLocksWithSheet="0" fPrintsWithSheet="0"/>
  </xdr:twoCellAnchor>
</xdr:wsDr>
</file>

<file path=xl/drawings/drawing12.xml><?xml version="1.0" encoding="utf-8"?>
<xdr:wsDr xmlns:xdr="http://schemas.openxmlformats.org/drawingml/2006/spreadsheetDrawing" xmlns:a="http://schemas.openxmlformats.org/drawingml/2006/main">
  <xdr:twoCellAnchor>
    <xdr:from>
      <xdr:col>6</xdr:col>
      <xdr:colOff>76200</xdr:colOff>
      <xdr:row>0</xdr:row>
      <xdr:rowOff>104775</xdr:rowOff>
    </xdr:from>
    <xdr:to>
      <xdr:col>6</xdr:col>
      <xdr:colOff>620778</xdr:colOff>
      <xdr:row>12</xdr:row>
      <xdr:rowOff>467630</xdr:rowOff>
    </xdr:to>
    <xdr:sp macro="" textlink="">
      <xdr:nvSpPr>
        <xdr:cNvPr id="3" name="Rectangle 2">
          <a:extLst>
            <a:ext uri="{FF2B5EF4-FFF2-40B4-BE49-F238E27FC236}">
              <a16:creationId xmlns:a16="http://schemas.microsoft.com/office/drawing/2014/main" id="{00000000-0008-0000-0D00-000003000000}"/>
            </a:ext>
          </a:extLst>
        </xdr:cNvPr>
        <xdr:cNvSpPr/>
      </xdr:nvSpPr>
      <xdr:spPr>
        <a:xfrm>
          <a:off x="5867400" y="104775"/>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6</xdr:col>
      <xdr:colOff>118698</xdr:colOff>
      <xdr:row>1</xdr:row>
      <xdr:rowOff>9830</xdr:rowOff>
    </xdr:from>
    <xdr:to>
      <xdr:col>6</xdr:col>
      <xdr:colOff>578280</xdr:colOff>
      <xdr:row>3</xdr:row>
      <xdr:rowOff>101715</xdr:rowOff>
    </xdr:to>
    <xdr:pic macro="[0]!Validate_FRQ">
      <xdr:nvPicPr>
        <xdr:cNvPr id="4" name="Picture 3" descr="Button-Ok-icon.png">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stretch>
          <a:fillRect/>
        </a:stretch>
      </xdr:blipFill>
      <xdr:spPr>
        <a:xfrm>
          <a:off x="5909898" y="171755"/>
          <a:ext cx="459582" cy="415735"/>
        </a:xfrm>
        <a:prstGeom prst="rect">
          <a:avLst/>
        </a:prstGeom>
        <a:ln>
          <a:noFill/>
        </a:ln>
        <a:effectLst>
          <a:outerShdw blurRad="44450" dist="27940" dir="5400000" algn="ctr">
            <a:srgbClr val="000000">
              <a:alpha val="32000"/>
            </a:srgbClr>
          </a:outerShdw>
        </a:effectLst>
      </xdr:spPr>
    </xdr:pic>
    <xdr:clientData/>
  </xdr:twoCellAnchor>
  <xdr:twoCellAnchor>
    <xdr:from>
      <xdr:col>6</xdr:col>
      <xdr:colOff>118699</xdr:colOff>
      <xdr:row>4</xdr:row>
      <xdr:rowOff>87563</xdr:rowOff>
    </xdr:from>
    <xdr:to>
      <xdr:col>6</xdr:col>
      <xdr:colOff>578279</xdr:colOff>
      <xdr:row>7</xdr:row>
      <xdr:rowOff>63968</xdr:rowOff>
    </xdr:to>
    <xdr:pic macro="[0]!Help_sheet">
      <xdr:nvPicPr>
        <xdr:cNvPr id="5" name="Picture 4" descr="Green.png">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stretch>
          <a:fillRect/>
        </a:stretch>
      </xdr:blipFill>
      <xdr:spPr>
        <a:xfrm>
          <a:off x="5909899" y="697163"/>
          <a:ext cx="459580" cy="424080"/>
        </a:xfrm>
        <a:prstGeom prst="rect">
          <a:avLst/>
        </a:prstGeom>
      </xdr:spPr>
    </xdr:pic>
    <xdr:clientData/>
  </xdr:twoCellAnchor>
  <xdr:twoCellAnchor>
    <xdr:from>
      <xdr:col>6</xdr:col>
      <xdr:colOff>118698</xdr:colOff>
      <xdr:row>11</xdr:row>
      <xdr:rowOff>88316</xdr:rowOff>
    </xdr:from>
    <xdr:to>
      <xdr:col>6</xdr:col>
      <xdr:colOff>578280</xdr:colOff>
      <xdr:row>12</xdr:row>
      <xdr:rowOff>385427</xdr:rowOff>
    </xdr:to>
    <xdr:pic macro="[0]!next_sheet">
      <xdr:nvPicPr>
        <xdr:cNvPr id="6" name="Picture 5" descr="Next.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5909898" y="1755191"/>
          <a:ext cx="459582" cy="420936"/>
        </a:xfrm>
        <a:prstGeom prst="rect">
          <a:avLst/>
        </a:prstGeom>
      </xdr:spPr>
    </xdr:pic>
    <xdr:clientData/>
  </xdr:twoCellAnchor>
  <xdr:twoCellAnchor>
    <xdr:from>
      <xdr:col>6</xdr:col>
      <xdr:colOff>118698</xdr:colOff>
      <xdr:row>8</xdr:row>
      <xdr:rowOff>11715</xdr:rowOff>
    </xdr:from>
    <xdr:to>
      <xdr:col>6</xdr:col>
      <xdr:colOff>578280</xdr:colOff>
      <xdr:row>10</xdr:row>
      <xdr:rowOff>102470</xdr:rowOff>
    </xdr:to>
    <xdr:pic macro="[0]!previous_sheet">
      <xdr:nvPicPr>
        <xdr:cNvPr id="7" name="Picture 6" descr="Previous-icon.png">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4" cstate="print"/>
        <a:stretch>
          <a:fillRect/>
        </a:stretch>
      </xdr:blipFill>
      <xdr:spPr>
        <a:xfrm flipV="1">
          <a:off x="5909898" y="1230915"/>
          <a:ext cx="459582" cy="41460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121194</xdr:colOff>
      <xdr:row>0</xdr:row>
      <xdr:rowOff>116164</xdr:rowOff>
    </xdr:from>
    <xdr:to>
      <xdr:col>2</xdr:col>
      <xdr:colOff>682009</xdr:colOff>
      <xdr:row>3</xdr:row>
      <xdr:rowOff>95250</xdr:rowOff>
    </xdr:to>
    <xdr:pic>
      <xdr:nvPicPr>
        <xdr:cNvPr id="51202" name="Picture 2">
          <a:extLst>
            <a:ext uri="{FF2B5EF4-FFF2-40B4-BE49-F238E27FC236}">
              <a16:creationId xmlns:a16="http://schemas.microsoft.com/office/drawing/2014/main" id="{00000000-0008-0000-0E00-000002C80000}"/>
            </a:ext>
          </a:extLst>
        </xdr:cNvPr>
        <xdr:cNvPicPr>
          <a:picLocks noChangeAspect="1" noChangeArrowheads="1"/>
        </xdr:cNvPicPr>
      </xdr:nvPicPr>
      <xdr:blipFill>
        <a:blip xmlns:r="http://schemas.openxmlformats.org/officeDocument/2006/relationships" r:embed="rId1" cstate="print"/>
        <a:srcRect l="1966" t="4234"/>
        <a:stretch>
          <a:fillRect/>
        </a:stretch>
      </xdr:blipFill>
      <xdr:spPr bwMode="auto">
        <a:xfrm>
          <a:off x="159294" y="116164"/>
          <a:ext cx="951340" cy="912536"/>
        </a:xfrm>
        <a:prstGeom prst="rect">
          <a:avLst/>
        </a:prstGeom>
        <a:noFill/>
      </xdr:spPr>
    </xdr:pic>
    <xdr:clientData/>
  </xdr:twoCellAnchor>
  <xdr:twoCellAnchor>
    <xdr:from>
      <xdr:col>7</xdr:col>
      <xdr:colOff>847725</xdr:colOff>
      <xdr:row>2</xdr:row>
      <xdr:rowOff>0</xdr:rowOff>
    </xdr:from>
    <xdr:to>
      <xdr:col>8</xdr:col>
      <xdr:colOff>1669595</xdr:colOff>
      <xdr:row>4</xdr:row>
      <xdr:rowOff>55791</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rot="16200000">
          <a:off x="7969702" y="-121102"/>
          <a:ext cx="503466" cy="1964870"/>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fLocksWithSheet="0" fPrintsWithSheet="0"/>
  </xdr:twoCellAnchor>
  <xdr:twoCellAnchor>
    <xdr:from>
      <xdr:col>7</xdr:col>
      <xdr:colOff>898142</xdr:colOff>
      <xdr:row>2</xdr:row>
      <xdr:rowOff>44675</xdr:rowOff>
    </xdr:from>
    <xdr:to>
      <xdr:col>8</xdr:col>
      <xdr:colOff>186104</xdr:colOff>
      <xdr:row>4</xdr:row>
      <xdr:rowOff>11116</xdr:rowOff>
    </xdr:to>
    <xdr:pic macro="[0]!Validate_PDF">
      <xdr:nvPicPr>
        <xdr:cNvPr id="4" name="Picture 3" descr="Button-Ok-icon.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7289417" y="654275"/>
          <a:ext cx="430962" cy="414116"/>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8</xdr:col>
      <xdr:colOff>217109</xdr:colOff>
      <xdr:row>2</xdr:row>
      <xdr:rowOff>38619</xdr:rowOff>
    </xdr:from>
    <xdr:to>
      <xdr:col>8</xdr:col>
      <xdr:colOff>648773</xdr:colOff>
      <xdr:row>4</xdr:row>
      <xdr:rowOff>17172</xdr:rowOff>
    </xdr:to>
    <xdr:pic macro="[0]!Help_sheet">
      <xdr:nvPicPr>
        <xdr:cNvPr id="5" name="Picture 4" descr="Green.png">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cstate="print"/>
        <a:stretch>
          <a:fillRect/>
        </a:stretch>
      </xdr:blipFill>
      <xdr:spPr>
        <a:xfrm>
          <a:off x="7751384" y="648219"/>
          <a:ext cx="431664" cy="426228"/>
        </a:xfrm>
        <a:prstGeom prst="rect">
          <a:avLst/>
        </a:prstGeom>
      </xdr:spPr>
    </xdr:pic>
    <xdr:clientData fLocksWithSheet="0" fPrintsWithSheet="0"/>
  </xdr:twoCellAnchor>
  <xdr:twoCellAnchor>
    <xdr:from>
      <xdr:col>8</xdr:col>
      <xdr:colOff>1155562</xdr:colOff>
      <xdr:row>2</xdr:row>
      <xdr:rowOff>38619</xdr:rowOff>
    </xdr:from>
    <xdr:to>
      <xdr:col>8</xdr:col>
      <xdr:colOff>1592032</xdr:colOff>
      <xdr:row>4</xdr:row>
      <xdr:rowOff>17172</xdr:rowOff>
    </xdr:to>
    <xdr:pic macro="[0]!next_sheet">
      <xdr:nvPicPr>
        <xdr:cNvPr id="6" name="Picture 5" descr="Next.png">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4" cstate="print"/>
        <a:stretch>
          <a:fillRect/>
        </a:stretch>
      </xdr:blipFill>
      <xdr:spPr>
        <a:xfrm>
          <a:off x="8689837" y="648219"/>
          <a:ext cx="436470" cy="426228"/>
        </a:xfrm>
        <a:prstGeom prst="rect">
          <a:avLst/>
        </a:prstGeom>
      </xdr:spPr>
    </xdr:pic>
    <xdr:clientData fLocksWithSheet="0" fPrintsWithSheet="0"/>
  </xdr:twoCellAnchor>
  <xdr:twoCellAnchor>
    <xdr:from>
      <xdr:col>8</xdr:col>
      <xdr:colOff>679778</xdr:colOff>
      <xdr:row>2</xdr:row>
      <xdr:rowOff>38619</xdr:rowOff>
    </xdr:from>
    <xdr:to>
      <xdr:col>8</xdr:col>
      <xdr:colOff>1124556</xdr:colOff>
      <xdr:row>4</xdr:row>
      <xdr:rowOff>17172</xdr:rowOff>
    </xdr:to>
    <xdr:pic macro="[0]!previous_sheet">
      <xdr:nvPicPr>
        <xdr:cNvPr id="7" name="Picture 6" descr="Previous-icon.png">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5" cstate="print"/>
        <a:stretch>
          <a:fillRect/>
        </a:stretch>
      </xdr:blipFill>
      <xdr:spPr>
        <a:xfrm flipV="1">
          <a:off x="8214053" y="648219"/>
          <a:ext cx="444778" cy="426228"/>
        </a:xfrm>
        <a:prstGeom prst="rect">
          <a:avLst/>
        </a:prstGeom>
      </xdr:spPr>
    </xdr:pic>
    <xdr:clientData fLocksWithSheet="0"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si\GroupDir\SGGSC-HUM-COM\New%20Joiners%20Form\COSS-HRO\Automation\HK\Form%20D\Updated\New%20Joining%20Form%20%20(Employee%20&amp;%20Temp%20with%20Payro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si\GroupDir\SGGSC-HUM-COM\New%20Joiners%20Form\COSS-HRO\Automation\HK\Form%20D\Personal%20Information%20Form%20(Employe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ructions"/>
      <sheetName val="Personal Information Form"/>
      <sheetName val="Beneficiary Nomination Form"/>
      <sheetName val="Medical Enrollment Form"/>
      <sheetName val="Compliance Undertaking"/>
      <sheetName val="Retirement Plan Selection Form"/>
      <sheetName val="Declaration of Fit and Proper"/>
      <sheetName val="Confidentiality Undertaking"/>
      <sheetName val="Directorship Declaration Form"/>
      <sheetName val="Declaration of Personal account"/>
      <sheetName val="New Hire Form(HR Only)"/>
      <sheetName val="List"/>
    </sheetNames>
    <sheetDataSet>
      <sheetData sheetId="0"/>
      <sheetData sheetId="1"/>
      <sheetData sheetId="2">
        <row r="106">
          <cell r="P106">
            <v>0</v>
          </cell>
        </row>
      </sheetData>
      <sheetData sheetId="3">
        <row r="53">
          <cell r="O53">
            <v>0</v>
          </cell>
        </row>
      </sheetData>
      <sheetData sheetId="4"/>
      <sheetData sheetId="5"/>
      <sheetData sheetId="6"/>
      <sheetData sheetId="7"/>
      <sheetData sheetId="8"/>
      <sheetData sheetId="9">
        <row r="33">
          <cell r="L33">
            <v>0</v>
          </cell>
        </row>
      </sheetData>
      <sheetData sheetId="10">
        <row r="45">
          <cell r="L45">
            <v>0</v>
          </cell>
        </row>
      </sheetData>
      <sheetData sheetId="11"/>
      <sheetData sheetId="12">
        <row r="2">
          <cell r="F2">
            <v>0</v>
          </cell>
        </row>
        <row r="3">
          <cell r="F3">
            <v>0</v>
          </cell>
        </row>
        <row r="4">
          <cell r="F4">
            <v>0</v>
          </cell>
        </row>
        <row r="5">
          <cell r="F5">
            <v>0</v>
          </cell>
        </row>
        <row r="6">
          <cell r="F6">
            <v>0</v>
          </cell>
        </row>
        <row r="7">
          <cell r="F7">
            <v>0</v>
          </cell>
        </row>
        <row r="8">
          <cell r="F8">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ructions"/>
      <sheetName val="Personal Information Form"/>
      <sheetName val="Beneficiary Nomination Form"/>
      <sheetName val="Medical Enrollment Form"/>
      <sheetName val="Compliance Undertaking"/>
      <sheetName val="Retirement Plan Selection Form"/>
      <sheetName val="Declaration of Fit and Proper"/>
      <sheetName val="Confidentiality Undertaking"/>
      <sheetName val="Directorship Declaration Form"/>
      <sheetName val="Declaration of Personal account"/>
      <sheetName val="New Hire Form(HR Only)"/>
      <sheetName val="List"/>
    </sheetNames>
    <sheetDataSet>
      <sheetData sheetId="0" refreshError="1"/>
      <sheetData sheetId="1" refreshError="1"/>
      <sheetData sheetId="2">
        <row r="13">
          <cell r="D13">
            <v>0</v>
          </cell>
        </row>
      </sheetData>
      <sheetData sheetId="3"/>
      <sheetData sheetId="4"/>
      <sheetData sheetId="5" refreshError="1"/>
      <sheetData sheetId="6" refreshError="1"/>
      <sheetData sheetId="7" refreshError="1"/>
      <sheetData sheetId="8" refreshError="1"/>
      <sheetData sheetId="9" refreshError="1"/>
      <sheetData sheetId="10" refreshError="1"/>
      <sheetData sheetId="11"/>
      <sheetData sheetId="12">
        <row r="2">
          <cell r="D2" t="str">
            <v>Spouse</v>
          </cell>
        </row>
        <row r="3">
          <cell r="D3" t="str">
            <v>Son</v>
          </cell>
        </row>
        <row r="4">
          <cell r="D4" t="str">
            <v>Daughter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3.xml"/><Relationship Id="rId11" Type="http://schemas.openxmlformats.org/officeDocument/2006/relationships/comments" Target="../comments4.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B2:AK28"/>
  <sheetViews>
    <sheetView zoomScale="70" zoomScaleNormal="70" workbookViewId="0">
      <selection activeCell="B4" sqref="B4"/>
    </sheetView>
  </sheetViews>
  <sheetFormatPr defaultRowHeight="15" x14ac:dyDescent="0.25"/>
  <cols>
    <col min="1" max="1" width="1.7109375" customWidth="1"/>
    <col min="2" max="2" width="28.7109375" bestFit="1" customWidth="1"/>
    <col min="3" max="3" width="19.42578125" bestFit="1" customWidth="1"/>
    <col min="4" max="4" width="20.7109375" bestFit="1" customWidth="1"/>
    <col min="5" max="5" width="19.5703125" bestFit="1" customWidth="1"/>
    <col min="6" max="6" width="28.140625" bestFit="1" customWidth="1"/>
    <col min="7" max="7" width="20.7109375" bestFit="1" customWidth="1"/>
    <col min="8" max="8" width="16.7109375" bestFit="1" customWidth="1"/>
    <col min="9" max="9" width="15.42578125" bestFit="1" customWidth="1"/>
    <col min="10" max="10" width="24.7109375" bestFit="1" customWidth="1"/>
    <col min="11" max="11" width="9.7109375" bestFit="1" customWidth="1"/>
    <col min="12" max="12" width="19.42578125" bestFit="1" customWidth="1"/>
    <col min="13" max="13" width="13.28515625" bestFit="1" customWidth="1"/>
    <col min="14" max="14" width="11.85546875" bestFit="1" customWidth="1"/>
    <col min="15" max="15" width="33.42578125" bestFit="1" customWidth="1"/>
    <col min="16" max="17" width="22.28515625" bestFit="1" customWidth="1"/>
    <col min="18" max="18" width="10.5703125" bestFit="1" customWidth="1"/>
    <col min="19" max="19" width="10.42578125" bestFit="1" customWidth="1"/>
    <col min="21" max="21" width="19.5703125" bestFit="1" customWidth="1"/>
    <col min="22" max="22" width="11.42578125" bestFit="1" customWidth="1"/>
    <col min="23" max="23" width="24.7109375" bestFit="1" customWidth="1"/>
    <col min="24" max="24" width="23.85546875" bestFit="1" customWidth="1"/>
    <col min="25" max="25" width="16.42578125" bestFit="1" customWidth="1"/>
    <col min="26" max="26" width="13.5703125" bestFit="1" customWidth="1"/>
    <col min="27" max="27" width="14.42578125" bestFit="1" customWidth="1"/>
    <col min="28" max="28" width="14.140625" bestFit="1" customWidth="1"/>
    <col min="29" max="29" width="16.42578125" bestFit="1" customWidth="1"/>
    <col min="30" max="30" width="12.42578125" bestFit="1" customWidth="1"/>
    <col min="31" max="31" width="18.140625" bestFit="1" customWidth="1"/>
    <col min="32" max="32" width="14.42578125" bestFit="1" customWidth="1"/>
    <col min="33" max="33" width="11" bestFit="1" customWidth="1"/>
    <col min="34" max="34" width="74.85546875" bestFit="1" customWidth="1"/>
    <col min="35" max="36" width="9.85546875" bestFit="1" customWidth="1"/>
    <col min="37" max="37" width="20.28515625" bestFit="1" customWidth="1"/>
  </cols>
  <sheetData>
    <row r="2" spans="2:13" x14ac:dyDescent="0.25">
      <c r="B2" s="612" t="s">
        <v>613</v>
      </c>
    </row>
    <row r="3" spans="2:13" x14ac:dyDescent="0.25">
      <c r="B3" s="612" t="s">
        <v>587</v>
      </c>
      <c r="C3" s="612" t="s">
        <v>588</v>
      </c>
      <c r="D3" s="612" t="s">
        <v>589</v>
      </c>
      <c r="E3" s="613" t="s">
        <v>590</v>
      </c>
      <c r="F3" s="612" t="s">
        <v>591</v>
      </c>
      <c r="G3" s="613" t="s">
        <v>592</v>
      </c>
      <c r="H3" s="612" t="s">
        <v>593</v>
      </c>
      <c r="I3" s="613" t="s">
        <v>594</v>
      </c>
      <c r="J3" s="612" t="s">
        <v>18</v>
      </c>
      <c r="K3" s="612" t="s">
        <v>334</v>
      </c>
      <c r="L3" s="612" t="s">
        <v>595</v>
      </c>
    </row>
    <row r="4" spans="2:13" x14ac:dyDescent="0.25">
      <c r="B4" s="614" t="s">
        <v>122</v>
      </c>
      <c r="C4" s="615" t="str">
        <f t="shared" ref="C4:C10" si="0">IF(Empl_No=0,"",Empl_No)</f>
        <v>NA</v>
      </c>
      <c r="D4" s="616" t="str">
        <f>E_Name</f>
        <v xml:space="preserve">  </v>
      </c>
      <c r="E4" s="617" t="str">
        <f t="shared" ref="E4:E10" si="1">IF(DOJ=0,"",DOJ)</f>
        <v/>
      </c>
      <c r="F4" s="614" t="str">
        <f>IF('Personal Information'!$D$21=0,"",'Personal Information'!$D$21)</f>
        <v/>
      </c>
      <c r="G4" s="618"/>
      <c r="H4" s="619" t="str">
        <f>IF('Personal Information'!$D$22=0,"",'Personal Information'!$D$22)</f>
        <v/>
      </c>
      <c r="I4" s="617" t="str">
        <f>IF(DOB=0,"",DOB)</f>
        <v/>
      </c>
      <c r="J4" s="614" t="s">
        <v>596</v>
      </c>
      <c r="K4" s="614" t="str">
        <f>IF(Sex=0,"",Sex)</f>
        <v/>
      </c>
      <c r="L4" s="614" t="str">
        <f>IF(E_Name=0,"",E_Name)</f>
        <v xml:space="preserve">  </v>
      </c>
    </row>
    <row r="5" spans="2:13" x14ac:dyDescent="0.25">
      <c r="B5" s="614" t="s">
        <v>597</v>
      </c>
      <c r="C5" s="615" t="str">
        <f t="shared" si="0"/>
        <v>NA</v>
      </c>
      <c r="D5" s="616" t="str">
        <f>IF('Personal Information'!B106=0,"",'Personal Information'!B106)</f>
        <v/>
      </c>
      <c r="E5" s="617" t="str">
        <f t="shared" si="1"/>
        <v/>
      </c>
      <c r="F5" s="614" t="str">
        <f>IF('Personal Information'!$D$21=0,"",'Personal Information'!$D$21)</f>
        <v/>
      </c>
      <c r="G5" s="618"/>
      <c r="H5" s="619" t="str">
        <f>IF('Personal Information'!$D$22=0,"",'Personal Information'!$D$22)</f>
        <v/>
      </c>
      <c r="I5" s="617" t="str">
        <f>IF('Personal Information'!F106=0,"",'Personal Information'!F106)</f>
        <v/>
      </c>
      <c r="J5" s="614" t="str">
        <f>IF('Personal Information'!D106=0,"",'Personal Information'!D106)</f>
        <v/>
      </c>
      <c r="K5" s="614" t="str">
        <f>IF(OR(J5=0,J5=""),"",IF(OR(J5="Wife",J5="Daughter",J5="Mother"),"Female","Male"))</f>
        <v/>
      </c>
      <c r="L5" s="614" t="str">
        <f t="shared" ref="L5:L10" si="2">IF(OR(E_Name=0,D5=0),"",E_Name)</f>
        <v xml:space="preserve">  </v>
      </c>
    </row>
    <row r="6" spans="2:13" x14ac:dyDescent="0.25">
      <c r="B6" s="614" t="s">
        <v>598</v>
      </c>
      <c r="C6" s="615" t="str">
        <f t="shared" si="0"/>
        <v>NA</v>
      </c>
      <c r="D6" s="616" t="str">
        <f>IF('Personal Information'!B107=0,"",'Personal Information'!B107)</f>
        <v/>
      </c>
      <c r="E6" s="617" t="str">
        <f t="shared" si="1"/>
        <v/>
      </c>
      <c r="F6" s="614" t="str">
        <f>IF('Personal Information'!$D$21=0,"",'Personal Information'!$D$21)</f>
        <v/>
      </c>
      <c r="G6" s="618"/>
      <c r="H6" s="619" t="str">
        <f>IF('Personal Information'!$D$22=0,"",'Personal Information'!$D$22)</f>
        <v/>
      </c>
      <c r="I6" s="617" t="str">
        <f>IF('Personal Information'!F107=0,"",'Personal Information'!F107)</f>
        <v/>
      </c>
      <c r="J6" s="614" t="str">
        <f>IF('Personal Information'!D107=0,"",'Personal Information'!D107)</f>
        <v/>
      </c>
      <c r="K6" s="614" t="str">
        <f t="shared" ref="K6:K10" si="3">IF(OR(J6=0,J6=""),"",IF(OR(J6="Wife",J6="Daughter",J6="Mother"),"Female","Male"))</f>
        <v/>
      </c>
      <c r="L6" s="614" t="str">
        <f t="shared" si="2"/>
        <v xml:space="preserve">  </v>
      </c>
    </row>
    <row r="7" spans="2:13" x14ac:dyDescent="0.25">
      <c r="B7" s="614" t="s">
        <v>599</v>
      </c>
      <c r="C7" s="615" t="str">
        <f t="shared" si="0"/>
        <v>NA</v>
      </c>
      <c r="D7" s="616" t="str">
        <f>IF('Personal Information'!B108=0,"",'Personal Information'!B108)</f>
        <v/>
      </c>
      <c r="E7" s="617" t="str">
        <f t="shared" si="1"/>
        <v/>
      </c>
      <c r="F7" s="614" t="str">
        <f>IF('Personal Information'!$D$21=0,"",'Personal Information'!$D$21)</f>
        <v/>
      </c>
      <c r="G7" s="618"/>
      <c r="H7" s="619" t="str">
        <f>IF('Personal Information'!$D$22=0,"",'Personal Information'!$D$22)</f>
        <v/>
      </c>
      <c r="I7" s="617" t="str">
        <f>IF('Personal Information'!F108=0,"",'Personal Information'!F108)</f>
        <v/>
      </c>
      <c r="J7" s="614" t="str">
        <f>IF('Personal Information'!D108=0,"",'Personal Information'!D108)</f>
        <v/>
      </c>
      <c r="K7" s="614" t="str">
        <f t="shared" si="3"/>
        <v/>
      </c>
      <c r="L7" s="614" t="str">
        <f t="shared" si="2"/>
        <v xml:space="preserve">  </v>
      </c>
    </row>
    <row r="8" spans="2:13" x14ac:dyDescent="0.25">
      <c r="B8" s="614" t="s">
        <v>600</v>
      </c>
      <c r="C8" s="615" t="str">
        <f t="shared" si="0"/>
        <v>NA</v>
      </c>
      <c r="D8" s="616" t="str">
        <f>IF('Personal Information'!B109=0,"",'Personal Information'!B109)</f>
        <v/>
      </c>
      <c r="E8" s="617" t="str">
        <f t="shared" si="1"/>
        <v/>
      </c>
      <c r="F8" s="614" t="str">
        <f>IF('Personal Information'!$D$21=0,"",'Personal Information'!$D$21)</f>
        <v/>
      </c>
      <c r="G8" s="618"/>
      <c r="H8" s="619" t="str">
        <f>IF('Personal Information'!$D$22=0,"",'Personal Information'!$D$22)</f>
        <v/>
      </c>
      <c r="I8" s="617" t="str">
        <f>IF('Personal Information'!F109=0,"",'Personal Information'!F109)</f>
        <v/>
      </c>
      <c r="J8" s="614" t="str">
        <f>IF('Personal Information'!D109=0,"",'Personal Information'!D109)</f>
        <v/>
      </c>
      <c r="K8" s="614" t="str">
        <f t="shared" si="3"/>
        <v/>
      </c>
      <c r="L8" s="614" t="str">
        <f t="shared" si="2"/>
        <v xml:space="preserve">  </v>
      </c>
    </row>
    <row r="9" spans="2:13" x14ac:dyDescent="0.25">
      <c r="B9" s="614" t="s">
        <v>601</v>
      </c>
      <c r="C9" s="615" t="str">
        <f t="shared" si="0"/>
        <v>NA</v>
      </c>
      <c r="D9" s="616" t="str">
        <f>IF('Personal Information'!B110=0,"",'Personal Information'!B110)</f>
        <v/>
      </c>
      <c r="E9" s="617" t="str">
        <f t="shared" si="1"/>
        <v/>
      </c>
      <c r="F9" s="614" t="str">
        <f>IF('Personal Information'!$D$21=0,"",'Personal Information'!$D$21)</f>
        <v/>
      </c>
      <c r="G9" s="618"/>
      <c r="H9" s="619" t="str">
        <f>IF('Personal Information'!$D$22=0,"",'Personal Information'!$D$22)</f>
        <v/>
      </c>
      <c r="I9" s="617" t="str">
        <f>IF('Personal Information'!F110=0,"",'Personal Information'!F110)</f>
        <v/>
      </c>
      <c r="J9" s="614" t="str">
        <f>IF('Personal Information'!D110=0,"",'Personal Information'!D110)</f>
        <v/>
      </c>
      <c r="K9" s="614" t="str">
        <f t="shared" si="3"/>
        <v/>
      </c>
      <c r="L9" s="614" t="str">
        <f t="shared" si="2"/>
        <v xml:space="preserve">  </v>
      </c>
    </row>
    <row r="10" spans="2:13" x14ac:dyDescent="0.25">
      <c r="B10" s="614" t="s">
        <v>602</v>
      </c>
      <c r="C10" s="615" t="str">
        <f t="shared" si="0"/>
        <v>NA</v>
      </c>
      <c r="D10" s="616" t="str">
        <f>IF('Personal Information'!B111=0,"",'Personal Information'!B111)</f>
        <v/>
      </c>
      <c r="E10" s="617" t="str">
        <f t="shared" si="1"/>
        <v/>
      </c>
      <c r="F10" s="614" t="str">
        <f>IF('Personal Information'!$D$21=0,"",'Personal Information'!$D$21)</f>
        <v/>
      </c>
      <c r="G10" s="618"/>
      <c r="H10" s="619" t="str">
        <f>IF('Personal Information'!$D$22=0,"",'Personal Information'!$D$22)</f>
        <v/>
      </c>
      <c r="I10" s="617" t="str">
        <f>IF('Personal Information'!F111=0,"",'Personal Information'!F111)</f>
        <v/>
      </c>
      <c r="J10" s="614" t="str">
        <f>IF('Personal Information'!D111=0,"",'Personal Information'!D111)</f>
        <v/>
      </c>
      <c r="K10" s="614" t="str">
        <f t="shared" si="3"/>
        <v/>
      </c>
      <c r="L10" s="614" t="str">
        <f t="shared" si="2"/>
        <v xml:space="preserve">  </v>
      </c>
    </row>
    <row r="12" spans="2:13" x14ac:dyDescent="0.25">
      <c r="B12" s="624" t="s">
        <v>614</v>
      </c>
    </row>
    <row r="13" spans="2:13" x14ac:dyDescent="0.25">
      <c r="B13" s="624" t="s">
        <v>603</v>
      </c>
      <c r="C13" s="624" t="s">
        <v>604</v>
      </c>
      <c r="D13" s="624" t="s">
        <v>590</v>
      </c>
      <c r="E13" s="624" t="s">
        <v>605</v>
      </c>
      <c r="F13" s="624" t="s">
        <v>606</v>
      </c>
      <c r="G13" s="624" t="s">
        <v>393</v>
      </c>
      <c r="H13" s="624" t="s">
        <v>607</v>
      </c>
      <c r="I13" s="624" t="s">
        <v>608</v>
      </c>
      <c r="J13" s="624" t="s">
        <v>609</v>
      </c>
      <c r="K13" s="624" t="s">
        <v>610</v>
      </c>
      <c r="L13" s="624" t="s">
        <v>611</v>
      </c>
      <c r="M13" s="624" t="s">
        <v>612</v>
      </c>
    </row>
    <row r="14" spans="2:13" x14ac:dyDescent="0.25">
      <c r="B14" s="620" t="str">
        <f>IF(Empl_No=0,"",Empl_No)</f>
        <v>NA</v>
      </c>
      <c r="C14" s="620" t="str">
        <f>IF(E_Name=0,"",E_Name)</f>
        <v xml:space="preserve">  </v>
      </c>
      <c r="D14" s="621" t="str">
        <f>IF(DOJ=0,"",DOJ)</f>
        <v/>
      </c>
      <c r="E14" s="622" t="str">
        <f>TEXT(D14,"mmm-yy")</f>
        <v/>
      </c>
      <c r="F14" s="620" t="str">
        <f>IF('Personal Information'!$D$29=0,"",'Personal Information'!$D$29)</f>
        <v/>
      </c>
      <c r="G14" s="620" t="str">
        <f>IF('Personal Information'!$D$31=0,"",'Personal Information'!$D$31)</f>
        <v/>
      </c>
      <c r="H14" s="620" t="str">
        <f>IF('Personal Information'!$D$32=0,"",'Personal Information'!$D$32)</f>
        <v/>
      </c>
      <c r="I14" s="620" t="str">
        <f>IF('Personal Information'!$D$28=0,"",'Personal Information'!$D$28)</f>
        <v/>
      </c>
      <c r="J14" s="623" t="str">
        <f>IF('Personal Information'!$D$51=0,"",'Personal Information'!$D$51)</f>
        <v/>
      </c>
      <c r="K14" s="623" t="str">
        <f>IF('Personal Information'!$B$86=0,"",'Personal Information'!$B$86)</f>
        <v/>
      </c>
      <c r="L14" s="623"/>
      <c r="M14" s="620" t="str">
        <f>IF('Personal Information'!$D$28=0,"",'Personal Information'!$D$28)</f>
        <v/>
      </c>
    </row>
    <row r="19" spans="2:37" x14ac:dyDescent="0.25">
      <c r="B19" s="740" t="s">
        <v>615</v>
      </c>
      <c r="C19" s="740"/>
      <c r="D19" s="740"/>
      <c r="E19" s="740"/>
      <c r="F19" s="740"/>
      <c r="G19" s="740" t="s">
        <v>616</v>
      </c>
      <c r="H19" s="740"/>
      <c r="I19" s="740"/>
      <c r="J19" s="740"/>
      <c r="K19" s="740" t="s">
        <v>617</v>
      </c>
      <c r="L19" s="740"/>
      <c r="M19" s="740"/>
      <c r="N19" s="740"/>
      <c r="O19" s="740" t="s">
        <v>618</v>
      </c>
      <c r="P19" s="740"/>
      <c r="Q19" s="740"/>
      <c r="R19" s="740"/>
      <c r="S19" s="740"/>
      <c r="T19" s="740"/>
      <c r="U19" s="740"/>
      <c r="V19" s="740"/>
      <c r="W19" s="740"/>
      <c r="X19" s="740" t="s">
        <v>619</v>
      </c>
      <c r="Y19" s="740"/>
      <c r="Z19" s="740"/>
      <c r="AA19" s="740"/>
      <c r="AB19" s="740"/>
      <c r="AC19" s="630" t="s">
        <v>620</v>
      </c>
      <c r="AD19" s="739" t="s">
        <v>16</v>
      </c>
      <c r="AE19" s="739"/>
      <c r="AF19" s="739"/>
      <c r="AG19" s="739"/>
      <c r="AH19" s="631" t="s">
        <v>79</v>
      </c>
      <c r="AI19" s="631"/>
      <c r="AJ19" s="631"/>
      <c r="AK19" s="631"/>
    </row>
    <row r="20" spans="2:37" x14ac:dyDescent="0.25">
      <c r="B20" s="626" t="s">
        <v>621</v>
      </c>
      <c r="C20" s="627" t="s">
        <v>3</v>
      </c>
      <c r="D20" s="626" t="s">
        <v>622</v>
      </c>
      <c r="E20" s="628" t="s">
        <v>21</v>
      </c>
      <c r="F20" s="635" t="s">
        <v>623</v>
      </c>
      <c r="G20" s="628" t="s">
        <v>120</v>
      </c>
      <c r="H20" s="628" t="s">
        <v>22</v>
      </c>
      <c r="I20" s="628" t="s">
        <v>23</v>
      </c>
      <c r="J20" s="628" t="s">
        <v>624</v>
      </c>
      <c r="K20" s="628" t="s">
        <v>625</v>
      </c>
      <c r="L20" s="628" t="s">
        <v>626</v>
      </c>
      <c r="M20" s="628" t="s">
        <v>627</v>
      </c>
      <c r="N20" s="628" t="s">
        <v>628</v>
      </c>
      <c r="O20" s="628" t="s">
        <v>629</v>
      </c>
      <c r="P20" s="628" t="s">
        <v>14</v>
      </c>
      <c r="Q20" s="628" t="s">
        <v>14</v>
      </c>
      <c r="R20" s="628" t="s">
        <v>630</v>
      </c>
      <c r="S20" s="628" t="s">
        <v>631</v>
      </c>
      <c r="T20" s="628" t="s">
        <v>632</v>
      </c>
      <c r="U20" s="628" t="s">
        <v>633</v>
      </c>
      <c r="V20" s="628" t="s">
        <v>634</v>
      </c>
      <c r="W20" s="628" t="s">
        <v>635</v>
      </c>
      <c r="X20" s="628" t="s">
        <v>636</v>
      </c>
      <c r="Y20" s="628" t="s">
        <v>637</v>
      </c>
      <c r="Z20" s="635" t="s">
        <v>638</v>
      </c>
      <c r="AA20" s="635" t="s">
        <v>639</v>
      </c>
      <c r="AB20" s="628" t="s">
        <v>640</v>
      </c>
      <c r="AC20" s="628" t="s">
        <v>641</v>
      </c>
      <c r="AD20" s="629" t="s">
        <v>17</v>
      </c>
      <c r="AE20" s="629" t="s">
        <v>76</v>
      </c>
      <c r="AF20" s="629" t="s">
        <v>77</v>
      </c>
      <c r="AG20" s="629" t="s">
        <v>48</v>
      </c>
      <c r="AH20" s="625" t="s">
        <v>78</v>
      </c>
      <c r="AI20" s="625" t="s">
        <v>80</v>
      </c>
      <c r="AJ20" s="625" t="s">
        <v>81</v>
      </c>
      <c r="AK20" s="625" t="s">
        <v>82</v>
      </c>
    </row>
    <row r="21" spans="2:37" x14ac:dyDescent="0.25">
      <c r="B21" s="111" t="str">
        <f>IF(F_Name=0,"",F_Name)</f>
        <v/>
      </c>
      <c r="C21" s="111" t="str">
        <f>IF(M_Name=0,"",M_Name)</f>
        <v/>
      </c>
      <c r="D21" s="111" t="str">
        <f>IF(L_Name=0,"",L_Name)</f>
        <v/>
      </c>
      <c r="E21" s="634" t="str">
        <f>IF(Empl_No=0,"",Empl_No)</f>
        <v>NA</v>
      </c>
      <c r="F21" s="636" t="str">
        <f>IF(DOB=0,"",DOB)</f>
        <v/>
      </c>
      <c r="G21" s="94" t="str">
        <f>IF(TOE_PI=0,"",TOE_PI)</f>
        <v>Employee</v>
      </c>
      <c r="H21" s="111" t="str">
        <f>IF('Personal Information'!$D$21=0,"",'Personal Information'!$D$21)</f>
        <v/>
      </c>
      <c r="I21" s="111" t="str">
        <f>IF('Personal Information'!$D$22=0,"",'Personal Information'!$D$22)</f>
        <v/>
      </c>
      <c r="J21" s="111" t="str">
        <f>IF('Personal Information'!$D$23=0,"",'Personal Information'!$D$23)</f>
        <v/>
      </c>
      <c r="K21" s="111" t="str">
        <f>IF(Sex=0,"",Sex)</f>
        <v/>
      </c>
      <c r="L21" s="111" t="str">
        <f>IF(M_Status=0,"",M_Status)</f>
        <v/>
      </c>
      <c r="M21" s="111" t="str">
        <f>IF('Personal Information'!$D$27=0,"",'Personal Information'!$D$27)</f>
        <v/>
      </c>
      <c r="N21" s="111" t="str">
        <f>M14</f>
        <v/>
      </c>
      <c r="O21" s="111" t="str">
        <f>IF('Personal Information'!$D$43=0,"",'Personal Information'!$D$43)</f>
        <v/>
      </c>
      <c r="P21" s="111" t="str">
        <f>IF('Personal Information'!$D$44=0,"",'Personal Information'!$D$44)</f>
        <v/>
      </c>
      <c r="Q21" s="111" t="str">
        <f>IF('Personal Information'!$D$45=0,"",'Personal Information'!$D$45)</f>
        <v/>
      </c>
      <c r="R21" s="111" t="str">
        <f>IF('Personal Information'!$D$46=0,"",'Personal Information'!$D$46)</f>
        <v/>
      </c>
      <c r="S21" s="111" t="str">
        <f>IF('Personal Information'!$D$47=0,"",'Personal Information'!$D$47)</f>
        <v/>
      </c>
      <c r="T21" s="111" t="str">
        <f>IF('Personal Information'!$D$48=0,"",'Personal Information'!$D$48)</f>
        <v/>
      </c>
      <c r="U21" s="111" t="str">
        <f>IF('Personal Information'!$D$49=0,"",'Personal Information'!$D$49)</f>
        <v/>
      </c>
      <c r="V21" s="111" t="str">
        <f>IF('Personal Information'!$D$50=0,"",'Personal Information'!$D$50)</f>
        <v/>
      </c>
      <c r="W21" s="111" t="str">
        <f>IF('Personal Information'!$D$51=0,"",'Personal Information'!$D$51)</f>
        <v/>
      </c>
      <c r="X21" s="111" t="str">
        <f>IF('Personal Information'!$D$54=0,"",'Personal Information'!$D$54)</f>
        <v/>
      </c>
      <c r="Y21" s="634" t="str">
        <f>IF('Personal Information'!$D$55=0,"",'Personal Information'!$D$55)</f>
        <v/>
      </c>
      <c r="Z21" s="636" t="str">
        <f>IF('Personal Information'!$D$56=0,"",'Personal Information'!$D$56)</f>
        <v/>
      </c>
      <c r="AA21" s="636" t="str">
        <f>IF('Personal Information'!$D$57=0,"",'Personal Information'!$D$57)</f>
        <v/>
      </c>
      <c r="AB21" s="94" t="str">
        <f>IF('Personal Information'!$D$58=0,"",'Personal Information'!$D$58)</f>
        <v/>
      </c>
      <c r="AC21" s="111" t="str">
        <f>IF('Personal Information'!$D$64=0,"",'Personal Information'!$D$64)</f>
        <v/>
      </c>
      <c r="AD21" s="111" t="str">
        <f>IF('Personal Information'!$B$86=0,"",'Personal Information'!$B$86)</f>
        <v/>
      </c>
      <c r="AE21" s="111" t="str">
        <f>IF('Personal Information'!$D$86=0,"",'Personal Information'!$D$86)</f>
        <v/>
      </c>
      <c r="AF21" s="111" t="str">
        <f>IF('Personal Information'!$F$86=0,"",'Personal Information'!$F$86)</f>
        <v/>
      </c>
      <c r="AG21" s="638" t="str">
        <f>IF('Personal Information'!$H$86=0,"",'Personal Information'!$H$86)</f>
        <v/>
      </c>
      <c r="AH21" s="111" t="str">
        <f>IF('Personal Information'!$B$96=0,"",'Personal Information'!$B$96)</f>
        <v/>
      </c>
      <c r="AI21" s="637" t="str">
        <f>IF('Personal Information'!$D$96=0,"",'Personal Information'!$D$96)</f>
        <v/>
      </c>
      <c r="AJ21" s="637" t="str">
        <f>IF('Personal Information'!$F$96=0,"",'Personal Information'!$F$96)</f>
        <v/>
      </c>
      <c r="AK21" s="111" t="str">
        <f>IF('Personal Information'!$H$96=0,"",'Personal Information'!$H$96)</f>
        <v/>
      </c>
    </row>
    <row r="26" spans="2:37" x14ac:dyDescent="0.25">
      <c r="B26" s="633" t="s">
        <v>645</v>
      </c>
    </row>
    <row r="27" spans="2:37" x14ac:dyDescent="0.25">
      <c r="B27" s="633" t="s">
        <v>604</v>
      </c>
      <c r="C27" s="633" t="s">
        <v>642</v>
      </c>
      <c r="D27" s="633" t="s">
        <v>21</v>
      </c>
      <c r="E27" s="633" t="s">
        <v>120</v>
      </c>
      <c r="F27" s="633" t="s">
        <v>643</v>
      </c>
      <c r="G27" s="633" t="s">
        <v>426</v>
      </c>
      <c r="H27" s="633" t="s">
        <v>25</v>
      </c>
      <c r="I27" s="633" t="s">
        <v>644</v>
      </c>
    </row>
    <row r="28" spans="2:37" x14ac:dyDescent="0.25">
      <c r="B28" s="632" t="str">
        <f>IF(E_Name=0,"",E_Name)</f>
        <v xml:space="preserve">  </v>
      </c>
      <c r="C28" s="632" t="str">
        <f>IF('Personal Information'!$D$16=0,"",'Personal Information'!$D$16)</f>
        <v/>
      </c>
      <c r="D28" s="632" t="str">
        <f>IF(Empl_No=0,"",Empl_No)</f>
        <v>NA</v>
      </c>
      <c r="E28" s="632" t="str">
        <f>IF(TOE_PI=0,"",TOE_PI)</f>
        <v>Employee</v>
      </c>
      <c r="F28" s="632" t="str">
        <f>IF('Personal Information'!$D$23=0,"",'Personal Information'!$D$23)</f>
        <v/>
      </c>
      <c r="G28" s="632" t="str">
        <f>IF(M_Status=0,"",M_Status)</f>
        <v/>
      </c>
      <c r="H28" s="632" t="str">
        <f>IF('Personal Information'!$D$27=0,"",'Personal Information'!$D$27)</f>
        <v/>
      </c>
      <c r="I28" s="632" t="str">
        <f>IF('Personal Information'!$D$64=0,"",'Personal Information'!$D$64)</f>
        <v/>
      </c>
    </row>
  </sheetData>
  <sheetProtection password="CA99" sheet="1" objects="1" scenarios="1"/>
  <mergeCells count="6">
    <mergeCell ref="AD19:AG19"/>
    <mergeCell ref="B19:F19"/>
    <mergeCell ref="G19:J19"/>
    <mergeCell ref="K19:N19"/>
    <mergeCell ref="O19:W19"/>
    <mergeCell ref="X19:AB19"/>
  </mergeCells>
  <conditionalFormatting sqref="D3:D10">
    <cfRule type="duplicateValues" dxfId="33" priority="11" stopIfTrue="1"/>
  </conditionalFormatting>
  <conditionalFormatting sqref="D5:D10">
    <cfRule type="duplicateValues" dxfId="32" priority="10" stopIfTrue="1"/>
  </conditionalFormatting>
  <conditionalFormatting sqref="I5:I10">
    <cfRule type="duplicateValues" dxfId="31" priority="9" stopIfTrue="1"/>
  </conditionalFormatting>
  <conditionalFormatting sqref="J5:J10">
    <cfRule type="duplicateValues" dxfId="30" priority="7" stopIfTrue="1"/>
  </conditionalFormatting>
  <conditionalFormatting sqref="B14">
    <cfRule type="cellIs" dxfId="29" priority="5" stopIfTrue="1" operator="equal">
      <formula>0</formula>
    </cfRule>
  </conditionalFormatting>
  <conditionalFormatting sqref="B14">
    <cfRule type="duplicateValues" dxfId="28" priority="4"/>
  </conditionalFormatting>
  <conditionalFormatting sqref="B14">
    <cfRule type="duplicateValues" dxfId="27" priority="3"/>
  </conditionalFormatting>
  <conditionalFormatting sqref="B14">
    <cfRule type="duplicateValues" dxfId="26" priority="1" stopIfTrue="1"/>
    <cfRule type="duplicateValues" dxfId="25" priority="2" stopIfTrue="1"/>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31"/>
  <sheetViews>
    <sheetView workbookViewId="0"/>
  </sheetViews>
  <sheetFormatPr defaultRowHeight="12.75" x14ac:dyDescent="0.2"/>
  <cols>
    <col min="1" max="1" width="11.85546875" style="32" bestFit="1" customWidth="1"/>
    <col min="2" max="2" width="14.5703125" style="32" bestFit="1" customWidth="1"/>
    <col min="3" max="3" width="10.7109375" style="32" bestFit="1" customWidth="1"/>
    <col min="4" max="4" width="6.85546875" style="32" bestFit="1" customWidth="1"/>
    <col min="5" max="5" width="10.7109375" style="32" bestFit="1" customWidth="1"/>
    <col min="6" max="7" width="10.5703125" style="32" bestFit="1" customWidth="1"/>
    <col min="8" max="8" width="9.85546875" style="32" bestFit="1" customWidth="1"/>
    <col min="9" max="9" width="9.140625" style="32"/>
    <col min="10" max="10" width="27.42578125" style="32" bestFit="1" customWidth="1"/>
    <col min="11" max="11" width="16.42578125" style="32" bestFit="1" customWidth="1"/>
    <col min="12" max="16384" width="9.140625" style="32"/>
  </cols>
  <sheetData>
    <row r="1" spans="1:12" x14ac:dyDescent="0.2">
      <c r="A1" s="27" t="s">
        <v>24</v>
      </c>
      <c r="B1" s="27" t="s">
        <v>22</v>
      </c>
      <c r="C1" s="28" t="s">
        <v>25</v>
      </c>
      <c r="D1" s="28" t="s">
        <v>9</v>
      </c>
      <c r="E1" s="28" t="s">
        <v>17</v>
      </c>
      <c r="F1" s="28" t="s">
        <v>18</v>
      </c>
      <c r="G1" s="28" t="s">
        <v>99</v>
      </c>
      <c r="H1" s="91" t="s">
        <v>100</v>
      </c>
      <c r="I1" s="91" t="s">
        <v>101</v>
      </c>
      <c r="J1" s="91" t="s">
        <v>121</v>
      </c>
      <c r="K1" s="91" t="s">
        <v>778</v>
      </c>
      <c r="L1" s="91" t="s">
        <v>22</v>
      </c>
    </row>
    <row r="2" spans="1:12" x14ac:dyDescent="0.2">
      <c r="A2" s="33" t="s">
        <v>26</v>
      </c>
      <c r="B2" s="34" t="s">
        <v>27</v>
      </c>
      <c r="C2" s="33" t="s">
        <v>113</v>
      </c>
      <c r="D2" s="33" t="s">
        <v>28</v>
      </c>
      <c r="E2" s="61" t="s">
        <v>49</v>
      </c>
      <c r="F2" s="61" t="s">
        <v>86</v>
      </c>
      <c r="G2" s="61" t="s">
        <v>100</v>
      </c>
      <c r="H2" s="63" t="s">
        <v>102</v>
      </c>
      <c r="I2" s="63" t="s">
        <v>773</v>
      </c>
      <c r="J2" s="63" t="s">
        <v>122</v>
      </c>
      <c r="K2" s="63" t="s">
        <v>160</v>
      </c>
      <c r="L2" s="63" t="s">
        <v>790</v>
      </c>
    </row>
    <row r="3" spans="1:12" x14ac:dyDescent="0.2">
      <c r="A3" s="33" t="s">
        <v>29</v>
      </c>
      <c r="B3" s="34" t="s">
        <v>30</v>
      </c>
      <c r="C3" s="33" t="s">
        <v>114</v>
      </c>
      <c r="D3" s="33" t="s">
        <v>31</v>
      </c>
      <c r="E3" s="61" t="s">
        <v>50</v>
      </c>
      <c r="F3" s="61" t="s">
        <v>87</v>
      </c>
      <c r="G3" s="61" t="s">
        <v>101</v>
      </c>
      <c r="H3" s="63" t="s">
        <v>103</v>
      </c>
      <c r="I3" s="63" t="s">
        <v>774</v>
      </c>
      <c r="J3" s="63" t="s">
        <v>123</v>
      </c>
      <c r="K3" s="63" t="s">
        <v>161</v>
      </c>
      <c r="L3" s="63" t="s">
        <v>789</v>
      </c>
    </row>
    <row r="4" spans="1:12" x14ac:dyDescent="0.2">
      <c r="A4" s="33" t="s">
        <v>32</v>
      </c>
      <c r="B4" s="34" t="s">
        <v>33</v>
      </c>
      <c r="C4" s="33" t="s">
        <v>115</v>
      </c>
      <c r="D4" s="35" t="s">
        <v>722</v>
      </c>
      <c r="E4" s="61" t="s">
        <v>51</v>
      </c>
      <c r="F4" s="61" t="s">
        <v>88</v>
      </c>
      <c r="G4" s="61"/>
      <c r="H4" s="63" t="s">
        <v>104</v>
      </c>
      <c r="J4" s="63" t="s">
        <v>124</v>
      </c>
      <c r="K4" s="63" t="s">
        <v>162</v>
      </c>
      <c r="L4" s="63" t="s">
        <v>788</v>
      </c>
    </row>
    <row r="5" spans="1:12" x14ac:dyDescent="0.2">
      <c r="A5" s="30" t="s">
        <v>34</v>
      </c>
      <c r="B5" s="34" t="s">
        <v>35</v>
      </c>
      <c r="C5" s="33" t="s">
        <v>116</v>
      </c>
      <c r="D5" s="35"/>
      <c r="E5" s="62" t="s">
        <v>52</v>
      </c>
      <c r="F5" s="62" t="s">
        <v>89</v>
      </c>
      <c r="G5" s="62"/>
      <c r="H5" s="63" t="s">
        <v>105</v>
      </c>
      <c r="J5" s="63" t="s">
        <v>710</v>
      </c>
      <c r="K5" s="63" t="s">
        <v>163</v>
      </c>
      <c r="L5" s="63" t="s">
        <v>787</v>
      </c>
    </row>
    <row r="6" spans="1:12" x14ac:dyDescent="0.2">
      <c r="A6" s="31" t="s">
        <v>36</v>
      </c>
      <c r="B6" s="34" t="s">
        <v>37</v>
      </c>
      <c r="C6" s="33" t="s">
        <v>117</v>
      </c>
      <c r="D6" s="36"/>
      <c r="E6" s="62" t="s">
        <v>53</v>
      </c>
      <c r="F6" s="62" t="s">
        <v>90</v>
      </c>
      <c r="G6" s="62"/>
      <c r="H6" s="63" t="s">
        <v>106</v>
      </c>
      <c r="J6" s="63" t="s">
        <v>705</v>
      </c>
      <c r="K6" s="63" t="s">
        <v>164</v>
      </c>
      <c r="L6" s="63" t="s">
        <v>786</v>
      </c>
    </row>
    <row r="7" spans="1:12" x14ac:dyDescent="0.2">
      <c r="A7" s="36"/>
      <c r="B7" s="34" t="s">
        <v>38</v>
      </c>
      <c r="C7" s="30" t="s">
        <v>118</v>
      </c>
      <c r="D7" s="36"/>
      <c r="E7" s="62" t="s">
        <v>54</v>
      </c>
      <c r="F7" s="62" t="s">
        <v>91</v>
      </c>
      <c r="G7" s="62"/>
      <c r="H7" s="63" t="s">
        <v>107</v>
      </c>
      <c r="J7" s="63" t="s">
        <v>777</v>
      </c>
      <c r="K7" s="63" t="s">
        <v>165</v>
      </c>
      <c r="L7" s="63" t="s">
        <v>785</v>
      </c>
    </row>
    <row r="8" spans="1:12" x14ac:dyDescent="0.2">
      <c r="A8" s="35"/>
      <c r="B8" s="34" t="s">
        <v>39</v>
      </c>
      <c r="C8" s="33" t="s">
        <v>119</v>
      </c>
      <c r="D8" s="35"/>
      <c r="E8" s="62" t="s">
        <v>55</v>
      </c>
      <c r="F8" s="62"/>
      <c r="H8" s="63" t="s">
        <v>108</v>
      </c>
      <c r="J8" s="32" t="s">
        <v>783</v>
      </c>
      <c r="K8" s="63" t="s">
        <v>166</v>
      </c>
      <c r="L8" s="63" t="s">
        <v>784</v>
      </c>
    </row>
    <row r="9" spans="1:12" x14ac:dyDescent="0.2">
      <c r="A9" s="35"/>
      <c r="B9" s="34" t="s">
        <v>40</v>
      </c>
      <c r="C9" s="33" t="s">
        <v>700</v>
      </c>
      <c r="D9" s="35"/>
      <c r="E9" s="62" t="s">
        <v>56</v>
      </c>
      <c r="H9" s="63" t="s">
        <v>109</v>
      </c>
      <c r="K9" s="63" t="s">
        <v>167</v>
      </c>
    </row>
    <row r="10" spans="1:12" x14ac:dyDescent="0.2">
      <c r="A10" s="35"/>
      <c r="B10" s="34" t="s">
        <v>41</v>
      </c>
      <c r="C10" s="33"/>
      <c r="D10" s="35"/>
      <c r="E10" s="61" t="s">
        <v>57</v>
      </c>
      <c r="H10" s="63" t="s">
        <v>110</v>
      </c>
      <c r="K10" s="63" t="s">
        <v>168</v>
      </c>
    </row>
    <row r="11" spans="1:12" x14ac:dyDescent="0.2">
      <c r="A11" s="35"/>
      <c r="B11" s="34" t="s">
        <v>42</v>
      </c>
      <c r="C11" s="35"/>
      <c r="D11" s="35"/>
      <c r="E11" s="61" t="s">
        <v>58</v>
      </c>
      <c r="H11" s="63" t="s">
        <v>111</v>
      </c>
      <c r="K11" s="63" t="s">
        <v>169</v>
      </c>
    </row>
    <row r="12" spans="1:12" x14ac:dyDescent="0.2">
      <c r="A12" s="35"/>
      <c r="B12" s="34" t="s">
        <v>127</v>
      </c>
      <c r="C12" s="35"/>
      <c r="D12" s="35"/>
      <c r="E12" s="61" t="s">
        <v>707</v>
      </c>
      <c r="H12" s="63" t="s">
        <v>112</v>
      </c>
      <c r="K12" s="63" t="s">
        <v>170</v>
      </c>
    </row>
    <row r="13" spans="1:12" x14ac:dyDescent="0.2">
      <c r="A13" s="35"/>
      <c r="B13" s="34" t="s">
        <v>128</v>
      </c>
      <c r="C13" s="35"/>
      <c r="D13" s="35"/>
      <c r="E13" s="61" t="s">
        <v>708</v>
      </c>
      <c r="H13" s="63" t="s">
        <v>772</v>
      </c>
    </row>
    <row r="14" spans="1:12" x14ac:dyDescent="0.2">
      <c r="A14" s="35"/>
      <c r="B14" s="34" t="s">
        <v>129</v>
      </c>
      <c r="C14" s="35"/>
      <c r="D14" s="35"/>
      <c r="E14" s="61" t="s">
        <v>59</v>
      </c>
    </row>
    <row r="15" spans="1:12" x14ac:dyDescent="0.2">
      <c r="A15" s="35"/>
      <c r="B15" s="34" t="s">
        <v>706</v>
      </c>
      <c r="C15" s="35"/>
      <c r="D15" s="35"/>
      <c r="E15" s="61" t="s">
        <v>60</v>
      </c>
    </row>
    <row r="16" spans="1:12" x14ac:dyDescent="0.2">
      <c r="A16" s="35"/>
      <c r="B16" s="34"/>
      <c r="C16" s="35"/>
      <c r="D16" s="35"/>
      <c r="E16" s="61" t="s">
        <v>61</v>
      </c>
    </row>
    <row r="17" spans="1:5" x14ac:dyDescent="0.2">
      <c r="A17" s="33"/>
      <c r="B17" s="34"/>
      <c r="C17" s="35"/>
      <c r="D17" s="35"/>
      <c r="E17" s="61" t="s">
        <v>62</v>
      </c>
    </row>
    <row r="18" spans="1:5" x14ac:dyDescent="0.2">
      <c r="A18" s="63"/>
      <c r="B18" s="63"/>
      <c r="C18" s="63"/>
      <c r="D18" s="63"/>
      <c r="E18" s="61" t="s">
        <v>63</v>
      </c>
    </row>
    <row r="19" spans="1:5" x14ac:dyDescent="0.2">
      <c r="A19" s="63"/>
      <c r="B19" s="63"/>
      <c r="C19" s="63"/>
      <c r="D19" s="63"/>
      <c r="E19" s="61" t="s">
        <v>64</v>
      </c>
    </row>
    <row r="20" spans="1:5" x14ac:dyDescent="0.2">
      <c r="A20" s="63"/>
      <c r="B20" s="63"/>
      <c r="C20" s="63"/>
      <c r="D20" s="63"/>
      <c r="E20" s="61" t="s">
        <v>65</v>
      </c>
    </row>
    <row r="21" spans="1:5" x14ac:dyDescent="0.2">
      <c r="A21" s="63"/>
      <c r="B21" s="63"/>
      <c r="C21" s="63"/>
      <c r="D21" s="63"/>
      <c r="E21" s="63" t="s">
        <v>66</v>
      </c>
    </row>
    <row r="22" spans="1:5" x14ac:dyDescent="0.2">
      <c r="A22" s="63"/>
      <c r="B22" s="63"/>
      <c r="C22" s="63"/>
      <c r="D22" s="63"/>
      <c r="E22" s="63" t="s">
        <v>67</v>
      </c>
    </row>
    <row r="23" spans="1:5" x14ac:dyDescent="0.2">
      <c r="A23" s="63"/>
      <c r="B23" s="63"/>
      <c r="C23" s="63"/>
      <c r="D23" s="63"/>
      <c r="E23" s="63" t="s">
        <v>68</v>
      </c>
    </row>
    <row r="24" spans="1:5" x14ac:dyDescent="0.2">
      <c r="A24" s="63"/>
      <c r="B24" s="63"/>
      <c r="C24" s="63"/>
      <c r="D24" s="63"/>
      <c r="E24" s="63" t="s">
        <v>69</v>
      </c>
    </row>
    <row r="25" spans="1:5" x14ac:dyDescent="0.2">
      <c r="A25" s="63"/>
      <c r="B25" s="63"/>
      <c r="C25" s="63"/>
      <c r="D25" s="63"/>
      <c r="E25" s="63" t="s">
        <v>70</v>
      </c>
    </row>
    <row r="26" spans="1:5" x14ac:dyDescent="0.2">
      <c r="A26" s="63"/>
      <c r="B26" s="63"/>
      <c r="C26" s="63"/>
      <c r="D26" s="63"/>
      <c r="E26" s="63" t="s">
        <v>71</v>
      </c>
    </row>
    <row r="27" spans="1:5" x14ac:dyDescent="0.2">
      <c r="A27" s="63"/>
      <c r="B27" s="63"/>
      <c r="C27" s="63"/>
      <c r="D27" s="63"/>
      <c r="E27" s="63" t="s">
        <v>72</v>
      </c>
    </row>
    <row r="28" spans="1:5" x14ac:dyDescent="0.2">
      <c r="A28" s="63"/>
      <c r="B28" s="63"/>
      <c r="C28" s="63"/>
      <c r="D28" s="63"/>
      <c r="E28" s="63" t="s">
        <v>73</v>
      </c>
    </row>
    <row r="29" spans="1:5" x14ac:dyDescent="0.2">
      <c r="E29" s="63" t="s">
        <v>74</v>
      </c>
    </row>
    <row r="30" spans="1:5" x14ac:dyDescent="0.2">
      <c r="E30" s="63" t="s">
        <v>75</v>
      </c>
    </row>
    <row r="31" spans="1:5" x14ac:dyDescent="0.2">
      <c r="E31" s="63" t="s">
        <v>709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IV46"/>
  <sheetViews>
    <sheetView showGridLines="0" tabSelected="1" zoomScale="70" zoomScaleNormal="70" workbookViewId="0">
      <selection activeCell="I18" sqref="I18"/>
    </sheetView>
  </sheetViews>
  <sheetFormatPr defaultColWidth="0" defaultRowHeight="15.75" customHeight="1" zeroHeight="1" x14ac:dyDescent="0.25"/>
  <cols>
    <col min="1" max="16" width="9.140625" style="75" customWidth="1"/>
    <col min="17" max="21" width="9.140625" style="76" customWidth="1"/>
    <col min="22" max="256" width="0" style="76" hidden="1" customWidth="1"/>
    <col min="257" max="257" width="0" style="75" hidden="1" customWidth="1"/>
    <col min="258" max="16384" width="0" style="75" hidden="1"/>
  </cols>
  <sheetData>
    <row r="1" spans="1:16" ht="7.5" customHeight="1" thickBot="1" x14ac:dyDescent="0.3"/>
    <row r="2" spans="1:16" x14ac:dyDescent="0.25">
      <c r="B2" s="77"/>
      <c r="C2" s="78"/>
      <c r="D2" s="78"/>
      <c r="E2" s="78"/>
      <c r="F2" s="78"/>
      <c r="G2" s="78"/>
      <c r="H2" s="78"/>
      <c r="I2" s="78"/>
      <c r="J2" s="78"/>
      <c r="K2" s="78"/>
      <c r="L2" s="78"/>
      <c r="M2" s="78"/>
      <c r="N2" s="78"/>
      <c r="O2" s="78"/>
      <c r="P2" s="79"/>
    </row>
    <row r="3" spans="1:16" ht="28.5" x14ac:dyDescent="0.45">
      <c r="B3" s="80"/>
      <c r="C3" s="81"/>
      <c r="D3" s="82" t="s">
        <v>95</v>
      </c>
      <c r="E3" s="81"/>
      <c r="F3" s="81"/>
      <c r="G3" s="81"/>
      <c r="H3" s="81"/>
      <c r="I3" s="81"/>
      <c r="J3" s="81"/>
      <c r="K3" s="81"/>
      <c r="L3" s="81"/>
      <c r="M3" s="81"/>
      <c r="N3" s="81"/>
      <c r="O3" s="81"/>
      <c r="P3" s="83"/>
    </row>
    <row r="4" spans="1:16" ht="16.5" thickBot="1" x14ac:dyDescent="0.3">
      <c r="B4" s="84"/>
      <c r="C4" s="85"/>
      <c r="D4" s="85"/>
      <c r="E4" s="85"/>
      <c r="F4" s="85"/>
      <c r="G4" s="85"/>
      <c r="H4" s="85"/>
      <c r="I4" s="85"/>
      <c r="J4" s="85"/>
      <c r="K4" s="85"/>
      <c r="L4" s="85"/>
      <c r="M4" s="85"/>
      <c r="N4" s="85"/>
      <c r="O4" s="85"/>
      <c r="P4" s="86"/>
    </row>
    <row r="5" spans="1:16" x14ac:dyDescent="0.25">
      <c r="B5" s="81"/>
      <c r="C5" s="81"/>
      <c r="D5" s="81"/>
      <c r="E5" s="81"/>
      <c r="F5" s="81"/>
      <c r="G5" s="81"/>
      <c r="H5" s="81"/>
      <c r="I5" s="81"/>
      <c r="J5" s="81"/>
      <c r="K5" s="81"/>
      <c r="L5" s="81"/>
      <c r="M5" s="81"/>
      <c r="N5" s="81"/>
      <c r="O5" s="81"/>
      <c r="P5" s="81"/>
    </row>
    <row r="6" spans="1:16" s="89" customFormat="1" ht="18.75" x14ac:dyDescent="0.3">
      <c r="A6" s="87" t="s">
        <v>96</v>
      </c>
      <c r="B6" s="88"/>
      <c r="C6" s="88"/>
      <c r="D6" s="88"/>
      <c r="E6" s="88"/>
      <c r="F6" s="88"/>
      <c r="G6" s="88"/>
      <c r="H6" s="88"/>
      <c r="I6" s="88"/>
      <c r="J6" s="88"/>
      <c r="K6" s="88"/>
      <c r="L6" s="88"/>
      <c r="M6" s="88"/>
      <c r="N6" s="88"/>
      <c r="O6" s="88"/>
      <c r="P6" s="88"/>
    </row>
    <row r="7" spans="1:16" s="89" customFormat="1" ht="18.75" x14ac:dyDescent="0.3"/>
    <row r="8" spans="1:16" s="89" customFormat="1" ht="18.75" x14ac:dyDescent="0.3">
      <c r="A8" s="87" t="s">
        <v>97</v>
      </c>
    </row>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1:1" ht="18.75" x14ac:dyDescent="0.3">
      <c r="A17" s="87" t="s">
        <v>98</v>
      </c>
    </row>
    <row r="18" spans="1:1" x14ac:dyDescent="0.25"/>
    <row r="19" spans="1:1" x14ac:dyDescent="0.25"/>
    <row r="20" spans="1:1" s="89" customFormat="1" ht="18.75" x14ac:dyDescent="0.3"/>
    <row r="21" spans="1:1" x14ac:dyDescent="0.25"/>
    <row r="22" spans="1:1" x14ac:dyDescent="0.25"/>
    <row r="23" spans="1:1" x14ac:dyDescent="0.25"/>
    <row r="24" spans="1:1" x14ac:dyDescent="0.25"/>
    <row r="25" spans="1:1" x14ac:dyDescent="0.25"/>
    <row r="26" spans="1:1" x14ac:dyDescent="0.25"/>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password="CA99" sheet="1" objects="1" scenarios="1"/>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U94"/>
  <sheetViews>
    <sheetView showGridLines="0" showRowColHeaders="0" topLeftCell="A37" zoomScaleNormal="100" zoomScaleSheetLayoutView="100" workbookViewId="0">
      <selection activeCell="E57" sqref="E57"/>
    </sheetView>
  </sheetViews>
  <sheetFormatPr defaultColWidth="0" defaultRowHeight="12.75" customHeight="1" zeroHeight="1" x14ac:dyDescent="0.2"/>
  <cols>
    <col min="1" max="1" width="1.85546875" style="539" customWidth="1"/>
    <col min="2" max="2" width="12" style="539" customWidth="1"/>
    <col min="3" max="12" width="9.140625" style="539" customWidth="1"/>
    <col min="13" max="13" width="7.42578125" style="539" customWidth="1"/>
    <col min="14" max="14" width="2" style="539" customWidth="1"/>
    <col min="15" max="15" width="14.7109375" style="539" hidden="1" customWidth="1"/>
    <col min="16" max="16" width="22.42578125" style="539" hidden="1" customWidth="1"/>
    <col min="17" max="17" width="24.7109375" style="539" hidden="1" customWidth="1"/>
    <col min="18" max="19" width="26.85546875" style="542" hidden="1" customWidth="1"/>
    <col min="20" max="20" width="27.140625" style="539" hidden="1" customWidth="1"/>
    <col min="21" max="21" width="9.140625" style="542" hidden="1" customWidth="1"/>
    <col min="22" max="16384" width="9.140625" style="539" hidden="1"/>
  </cols>
  <sheetData>
    <row r="1" spans="2:21" x14ac:dyDescent="0.2">
      <c r="P1" s="540" t="s">
        <v>0</v>
      </c>
      <c r="Q1" s="541" t="s">
        <v>524</v>
      </c>
      <c r="S1" s="542" t="s">
        <v>525</v>
      </c>
      <c r="T1" s="539" t="s">
        <v>526</v>
      </c>
    </row>
    <row r="2" spans="2:21" x14ac:dyDescent="0.2">
      <c r="O2" s="539" t="s">
        <v>473</v>
      </c>
      <c r="P2" s="542">
        <v>37</v>
      </c>
      <c r="Q2" s="542">
        <v>7</v>
      </c>
      <c r="S2" s="542">
        <v>4</v>
      </c>
      <c r="T2" s="542">
        <v>4</v>
      </c>
      <c r="U2" s="542">
        <f>SUM(P2:T2)</f>
        <v>52</v>
      </c>
    </row>
    <row r="3" spans="2:21" x14ac:dyDescent="0.2">
      <c r="B3" s="541"/>
      <c r="O3" s="539" t="s">
        <v>527</v>
      </c>
      <c r="P3" s="542">
        <v>0</v>
      </c>
      <c r="Q3" s="542" t="e">
        <v>#NAME?</v>
      </c>
      <c r="S3" s="542">
        <v>0</v>
      </c>
      <c r="T3" s="542">
        <v>0</v>
      </c>
      <c r="U3" s="542" t="e">
        <f>IF(SUM(P3:T3)=3,0,SUM(P3:T3))</f>
        <v>#NAME?</v>
      </c>
    </row>
    <row r="4" spans="2:21" x14ac:dyDescent="0.2">
      <c r="O4" s="539" t="s">
        <v>528</v>
      </c>
      <c r="P4" s="542">
        <f>P2-P3</f>
        <v>37</v>
      </c>
      <c r="Q4" s="542" t="e">
        <f>Q2-Q3</f>
        <v>#NAME?</v>
      </c>
      <c r="S4" s="542">
        <f>S2-S3</f>
        <v>4</v>
      </c>
      <c r="T4" s="542">
        <f>T2-T3</f>
        <v>4</v>
      </c>
      <c r="U4" s="542" t="e">
        <f>SUM(P4:T4)</f>
        <v>#NAME?</v>
      </c>
    </row>
    <row r="5" spans="2:21" x14ac:dyDescent="0.2">
      <c r="P5" s="543" t="str">
        <f>TEXT(P3/$P$2,"0%")</f>
        <v>0%</v>
      </c>
      <c r="Q5" s="543" t="e">
        <f>TEXT(Q3/$Q$2,"0%")</f>
        <v>#NAME?</v>
      </c>
      <c r="R5" s="543"/>
      <c r="S5" s="543"/>
      <c r="T5" s="543" t="str">
        <f>TEXT(T3/$T$2,"0%")</f>
        <v>0%</v>
      </c>
      <c r="U5" s="543" t="e">
        <f>TEXT(U3/$U$2,"0%")</f>
        <v>#NAME?</v>
      </c>
    </row>
    <row r="6" spans="2:21" x14ac:dyDescent="0.2">
      <c r="P6" s="543" t="str">
        <f>TEXT(P4/$P$2,"0%")</f>
        <v>100%</v>
      </c>
      <c r="Q6" s="543" t="e">
        <f>TEXT(Q4/$Q$2,"0%")</f>
        <v>#NAME?</v>
      </c>
      <c r="R6" s="543"/>
      <c r="S6" s="543"/>
      <c r="T6" s="543" t="str">
        <f>TEXT(T4/$T$2,"0%")</f>
        <v>100%</v>
      </c>
      <c r="U6" s="543" t="e">
        <f>TEXT(U4/$U$2,"0%")</f>
        <v>#NAME?</v>
      </c>
    </row>
    <row r="7" spans="2:21" x14ac:dyDescent="0.2">
      <c r="L7" s="544"/>
      <c r="M7" s="545"/>
      <c r="P7" s="539" t="s">
        <v>529</v>
      </c>
    </row>
    <row r="8" spans="2:21" x14ac:dyDescent="0.2">
      <c r="L8" s="546"/>
      <c r="M8" s="547"/>
      <c r="P8" s="542">
        <v>31</v>
      </c>
    </row>
    <row r="9" spans="2:21" x14ac:dyDescent="0.2">
      <c r="L9" s="546"/>
      <c r="M9" s="547"/>
      <c r="P9" s="542" t="e">
        <f>HR_FILLED</f>
        <v>#NAME?</v>
      </c>
    </row>
    <row r="10" spans="2:21" x14ac:dyDescent="0.2">
      <c r="L10" s="548"/>
      <c r="M10" s="549"/>
      <c r="P10" s="542" t="e">
        <f>P8-P9</f>
        <v>#NAME?</v>
      </c>
    </row>
    <row r="11" spans="2:21" x14ac:dyDescent="0.2">
      <c r="L11" s="550"/>
      <c r="M11" s="551"/>
      <c r="P11" s="543" t="e">
        <f>TEXT(P9/$P$8,"0%")</f>
        <v>#NAME?</v>
      </c>
    </row>
    <row r="12" spans="2:21" x14ac:dyDescent="0.2">
      <c r="L12" s="741" t="s">
        <v>530</v>
      </c>
      <c r="M12" s="742"/>
      <c r="P12" s="543" t="e">
        <f>TEXT(P10/$P$8,"0%")</f>
        <v>#NAME?</v>
      </c>
    </row>
    <row r="13" spans="2:21" x14ac:dyDescent="0.2"/>
    <row r="14" spans="2:21" ht="15" customHeight="1" x14ac:dyDescent="0.2">
      <c r="B14" s="552" t="s">
        <v>531</v>
      </c>
      <c r="C14" s="553"/>
      <c r="D14" s="553"/>
      <c r="E14" s="553"/>
      <c r="F14" s="553"/>
      <c r="G14" s="554"/>
      <c r="I14" s="555"/>
      <c r="J14" s="555"/>
      <c r="K14" s="555"/>
      <c r="L14" s="555"/>
      <c r="M14" s="556"/>
    </row>
    <row r="15" spans="2:21" ht="15" customHeight="1" x14ac:dyDescent="0.2">
      <c r="B15" s="557" t="s">
        <v>478</v>
      </c>
      <c r="C15" s="558"/>
      <c r="D15" s="558"/>
      <c r="E15" s="558"/>
      <c r="F15" s="558"/>
      <c r="G15" s="559"/>
      <c r="I15" s="560"/>
      <c r="J15" s="561"/>
      <c r="K15" s="560"/>
      <c r="L15" s="560"/>
      <c r="M15" s="562"/>
    </row>
    <row r="16" spans="2:21" ht="15" customHeight="1" x14ac:dyDescent="0.2">
      <c r="B16" s="557" t="s">
        <v>582</v>
      </c>
      <c r="C16" s="558"/>
      <c r="D16" s="558"/>
      <c r="E16" s="558"/>
      <c r="F16" s="558"/>
      <c r="G16" s="559"/>
      <c r="I16" s="563"/>
      <c r="J16" s="561"/>
      <c r="K16" s="563"/>
      <c r="L16" s="563"/>
      <c r="M16" s="562"/>
    </row>
    <row r="17" spans="2:13" ht="15" customHeight="1" x14ac:dyDescent="0.2">
      <c r="B17" s="557" t="s">
        <v>583</v>
      </c>
      <c r="C17" s="558"/>
      <c r="D17" s="558"/>
      <c r="E17" s="558"/>
      <c r="F17" s="558"/>
      <c r="G17" s="559"/>
      <c r="H17" s="562"/>
      <c r="I17" s="564" t="s">
        <v>532</v>
      </c>
      <c r="J17" s="564" t="s">
        <v>533</v>
      </c>
      <c r="K17" s="564" t="s">
        <v>534</v>
      </c>
      <c r="L17" s="564" t="s">
        <v>535</v>
      </c>
      <c r="M17" s="562"/>
    </row>
    <row r="18" spans="2:13" ht="6" customHeight="1" x14ac:dyDescent="0.2">
      <c r="B18" s="562"/>
      <c r="C18" s="562"/>
      <c r="D18" s="562"/>
      <c r="E18" s="562"/>
      <c r="F18" s="562"/>
      <c r="G18" s="562"/>
      <c r="H18" s="562"/>
      <c r="I18" s="562"/>
      <c r="J18" s="562"/>
      <c r="K18" s="562"/>
      <c r="L18" s="562"/>
      <c r="M18" s="562"/>
    </row>
    <row r="19" spans="2:13" ht="15" customHeight="1" x14ac:dyDescent="0.2">
      <c r="B19" s="552" t="s">
        <v>536</v>
      </c>
      <c r="C19" s="553"/>
      <c r="D19" s="553"/>
      <c r="E19" s="553"/>
      <c r="F19" s="553"/>
      <c r="G19" s="553"/>
      <c r="H19" s="553"/>
      <c r="I19" s="553"/>
      <c r="J19" s="553"/>
      <c r="K19" s="553"/>
      <c r="L19" s="553"/>
      <c r="M19" s="554"/>
    </row>
    <row r="20" spans="2:13" ht="6" customHeight="1" x14ac:dyDescent="0.2">
      <c r="B20" s="562"/>
      <c r="C20" s="562"/>
      <c r="D20" s="562"/>
      <c r="E20" s="562"/>
      <c r="F20" s="562"/>
      <c r="G20" s="562"/>
      <c r="H20" s="562"/>
      <c r="I20" s="562"/>
      <c r="J20" s="562"/>
      <c r="K20" s="562"/>
      <c r="L20" s="562"/>
      <c r="M20" s="562"/>
    </row>
    <row r="21" spans="2:13" ht="15" customHeight="1" x14ac:dyDescent="0.2">
      <c r="B21" s="552" t="s">
        <v>537</v>
      </c>
      <c r="C21" s="553"/>
      <c r="D21" s="553"/>
      <c r="E21" s="553"/>
      <c r="F21" s="553"/>
      <c r="G21" s="553"/>
      <c r="H21" s="553"/>
      <c r="I21" s="553"/>
      <c r="J21" s="553"/>
      <c r="K21" s="553"/>
      <c r="L21" s="553"/>
      <c r="M21" s="554"/>
    </row>
    <row r="22" spans="2:13" ht="15" customHeight="1" x14ac:dyDescent="0.2">
      <c r="B22" s="565" t="s">
        <v>538</v>
      </c>
      <c r="C22" s="558"/>
      <c r="D22" s="558"/>
      <c r="E22" s="558"/>
      <c r="F22" s="558"/>
      <c r="G22" s="558"/>
      <c r="H22" s="558"/>
      <c r="I22" s="558"/>
      <c r="J22" s="558"/>
      <c r="K22" s="558"/>
      <c r="L22" s="558"/>
      <c r="M22" s="559"/>
    </row>
    <row r="23" spans="2:13" x14ac:dyDescent="0.2">
      <c r="B23" s="565" t="s">
        <v>539</v>
      </c>
      <c r="C23" s="558"/>
      <c r="D23" s="558"/>
      <c r="E23" s="558"/>
      <c r="F23" s="558"/>
      <c r="G23" s="558"/>
      <c r="H23" s="558"/>
      <c r="I23" s="558"/>
      <c r="J23" s="558"/>
      <c r="K23" s="558"/>
      <c r="L23" s="558"/>
      <c r="M23" s="559"/>
    </row>
    <row r="24" spans="2:13" x14ac:dyDescent="0.2">
      <c r="B24" s="565" t="s">
        <v>540</v>
      </c>
      <c r="C24" s="558"/>
      <c r="D24" s="558"/>
      <c r="E24" s="558"/>
      <c r="F24" s="558"/>
      <c r="G24" s="558"/>
      <c r="H24" s="558"/>
      <c r="I24" s="558"/>
      <c r="J24" s="558"/>
      <c r="K24" s="558"/>
      <c r="L24" s="558"/>
      <c r="M24" s="559"/>
    </row>
    <row r="25" spans="2:13" x14ac:dyDescent="0.2">
      <c r="B25" s="565" t="s">
        <v>541</v>
      </c>
      <c r="C25" s="558"/>
      <c r="D25" s="558"/>
      <c r="E25" s="558"/>
      <c r="F25" s="558"/>
      <c r="G25" s="558"/>
      <c r="H25" s="558"/>
      <c r="I25" s="558"/>
      <c r="J25" s="558"/>
      <c r="K25" s="558"/>
      <c r="L25" s="558"/>
      <c r="M25" s="559"/>
    </row>
    <row r="26" spans="2:13" ht="6" customHeight="1" x14ac:dyDescent="0.2">
      <c r="B26" s="562"/>
      <c r="C26" s="562"/>
      <c r="D26" s="562"/>
      <c r="E26" s="562"/>
      <c r="F26" s="562"/>
      <c r="G26" s="562"/>
      <c r="H26" s="562"/>
      <c r="I26" s="562"/>
      <c r="J26" s="562"/>
      <c r="K26" s="562"/>
      <c r="L26" s="562"/>
      <c r="M26" s="562"/>
    </row>
    <row r="27" spans="2:13" ht="15" customHeight="1" x14ac:dyDescent="0.2">
      <c r="B27" s="552" t="s">
        <v>542</v>
      </c>
      <c r="C27" s="553"/>
      <c r="D27" s="553"/>
      <c r="E27" s="553"/>
      <c r="F27" s="553"/>
      <c r="G27" s="553"/>
      <c r="H27" s="553"/>
      <c r="I27" s="553"/>
      <c r="J27" s="553"/>
      <c r="K27" s="553"/>
      <c r="L27" s="553"/>
      <c r="M27" s="554"/>
    </row>
    <row r="28" spans="2:13" ht="15" customHeight="1" x14ac:dyDescent="0.2">
      <c r="B28" s="566" t="s">
        <v>543</v>
      </c>
      <c r="C28" s="558"/>
      <c r="D28" s="558"/>
      <c r="E28" s="558"/>
      <c r="F28" s="558"/>
      <c r="G28" s="558"/>
      <c r="H28" s="558"/>
      <c r="I28" s="558"/>
      <c r="J28" s="558"/>
      <c r="K28" s="558"/>
      <c r="L28" s="558"/>
      <c r="M28" s="559"/>
    </row>
    <row r="29" spans="2:13" ht="15" customHeight="1" x14ac:dyDescent="0.2">
      <c r="B29" s="566" t="s">
        <v>544</v>
      </c>
      <c r="C29" s="558"/>
      <c r="D29" s="558"/>
      <c r="E29" s="558"/>
      <c r="F29" s="558"/>
      <c r="G29" s="558"/>
      <c r="H29" s="558"/>
      <c r="I29" s="558"/>
      <c r="J29" s="558"/>
      <c r="K29" s="558"/>
      <c r="L29" s="558"/>
      <c r="M29" s="559"/>
    </row>
    <row r="30" spans="2:13" ht="15" hidden="1" customHeight="1" x14ac:dyDescent="0.2">
      <c r="B30" s="566" t="s">
        <v>545</v>
      </c>
      <c r="C30" s="558"/>
      <c r="D30" s="558"/>
      <c r="E30" s="558"/>
      <c r="F30" s="558"/>
      <c r="G30" s="558"/>
      <c r="H30" s="558"/>
      <c r="I30" s="558"/>
      <c r="J30" s="558"/>
      <c r="K30" s="558"/>
      <c r="L30" s="558"/>
      <c r="M30" s="559"/>
    </row>
    <row r="31" spans="2:13" ht="15" customHeight="1" x14ac:dyDescent="0.2">
      <c r="B31" s="566" t="s">
        <v>546</v>
      </c>
      <c r="C31" s="558"/>
      <c r="D31" s="558"/>
      <c r="E31" s="558"/>
      <c r="F31" s="558"/>
      <c r="G31" s="558"/>
      <c r="H31" s="558"/>
      <c r="I31" s="558"/>
      <c r="J31" s="558"/>
      <c r="K31" s="558"/>
      <c r="L31" s="558"/>
      <c r="M31" s="559"/>
    </row>
    <row r="32" spans="2:13" ht="15" customHeight="1" x14ac:dyDescent="0.2">
      <c r="B32" s="566" t="s">
        <v>547</v>
      </c>
      <c r="C32" s="558"/>
      <c r="D32" s="558"/>
      <c r="E32" s="558"/>
      <c r="F32" s="558"/>
      <c r="G32" s="558"/>
      <c r="H32" s="558"/>
      <c r="I32" s="558"/>
      <c r="J32" s="558"/>
      <c r="K32" s="558"/>
      <c r="L32" s="558"/>
      <c r="M32" s="559"/>
    </row>
    <row r="33" spans="2:13" ht="15" customHeight="1" x14ac:dyDescent="0.2">
      <c r="B33" s="566" t="s">
        <v>548</v>
      </c>
      <c r="C33" s="558"/>
      <c r="D33" s="558"/>
      <c r="E33" s="558"/>
      <c r="F33" s="558"/>
      <c r="G33" s="558"/>
      <c r="H33" s="558"/>
      <c r="I33" s="558"/>
      <c r="J33" s="558"/>
      <c r="K33" s="558"/>
      <c r="L33" s="558"/>
      <c r="M33" s="559"/>
    </row>
    <row r="34" spans="2:13" ht="3.75" customHeight="1" x14ac:dyDescent="0.2">
      <c r="B34" s="562"/>
      <c r="C34" s="562"/>
      <c r="D34" s="562"/>
      <c r="E34" s="562"/>
      <c r="F34" s="562"/>
      <c r="G34" s="562"/>
      <c r="H34" s="562"/>
      <c r="I34" s="562"/>
      <c r="J34" s="562"/>
      <c r="K34" s="562"/>
      <c r="L34" s="562"/>
      <c r="M34" s="562"/>
    </row>
    <row r="35" spans="2:13" ht="15" customHeight="1" x14ac:dyDescent="0.2">
      <c r="B35" s="567" t="s">
        <v>543</v>
      </c>
      <c r="C35" s="568"/>
    </row>
    <row r="36" spans="2:13" ht="15" customHeight="1" x14ac:dyDescent="0.2">
      <c r="B36" s="743" t="s">
        <v>549</v>
      </c>
      <c r="C36" s="744"/>
    </row>
    <row r="37" spans="2:13" ht="15" customHeight="1" x14ac:dyDescent="0.2">
      <c r="B37" s="745" t="s">
        <v>550</v>
      </c>
      <c r="C37" s="746"/>
    </row>
    <row r="38" spans="2:13" ht="4.5" customHeight="1" x14ac:dyDescent="0.2">
      <c r="B38" s="562"/>
      <c r="C38" s="562"/>
      <c r="D38" s="562"/>
      <c r="E38" s="562"/>
      <c r="F38" s="562"/>
      <c r="G38" s="562"/>
      <c r="H38" s="562"/>
      <c r="I38" s="562"/>
      <c r="J38" s="562"/>
      <c r="K38" s="562"/>
      <c r="L38" s="562"/>
      <c r="M38" s="562"/>
    </row>
    <row r="39" spans="2:13" x14ac:dyDescent="0.2">
      <c r="B39" s="552" t="s">
        <v>544</v>
      </c>
      <c r="C39" s="553"/>
      <c r="D39" s="553"/>
      <c r="E39" s="553"/>
      <c r="F39" s="553"/>
      <c r="G39" s="553"/>
      <c r="H39" s="553"/>
      <c r="I39" s="553"/>
      <c r="J39" s="553"/>
      <c r="K39" s="553"/>
      <c r="L39" s="553"/>
      <c r="M39" s="554"/>
    </row>
    <row r="40" spans="2:13" x14ac:dyDescent="0.2">
      <c r="B40" s="569" t="s">
        <v>551</v>
      </c>
      <c r="C40" s="570"/>
      <c r="D40" s="570"/>
      <c r="E40" s="570"/>
      <c r="F40" s="570"/>
      <c r="G40" s="570"/>
      <c r="H40" s="570"/>
      <c r="I40" s="570"/>
      <c r="J40" s="570"/>
      <c r="K40" s="570"/>
      <c r="L40" s="570"/>
      <c r="M40" s="571"/>
    </row>
    <row r="41" spans="2:13" x14ac:dyDescent="0.2">
      <c r="B41" s="569" t="s">
        <v>552</v>
      </c>
      <c r="C41" s="570"/>
      <c r="D41" s="570"/>
      <c r="E41" s="570"/>
      <c r="F41" s="570"/>
      <c r="G41" s="570"/>
      <c r="H41" s="570"/>
      <c r="I41" s="570"/>
      <c r="J41" s="570"/>
      <c r="K41" s="570"/>
      <c r="L41" s="570"/>
      <c r="M41" s="571"/>
    </row>
    <row r="42" spans="2:13" ht="6" customHeight="1" x14ac:dyDescent="0.2">
      <c r="B42" s="562"/>
      <c r="C42" s="562"/>
      <c r="D42" s="562"/>
      <c r="E42" s="562"/>
      <c r="F42" s="562"/>
      <c r="G42" s="562"/>
      <c r="H42" s="562"/>
      <c r="I42" s="562"/>
      <c r="J42" s="562"/>
      <c r="K42" s="562"/>
      <c r="L42" s="562"/>
      <c r="M42" s="562"/>
    </row>
    <row r="43" spans="2:13" hidden="1" x14ac:dyDescent="0.2">
      <c r="B43" s="552" t="s">
        <v>553</v>
      </c>
      <c r="C43" s="553"/>
      <c r="D43" s="553"/>
      <c r="E43" s="553"/>
      <c r="F43" s="553"/>
      <c r="G43" s="553"/>
      <c r="H43" s="553"/>
      <c r="I43" s="553"/>
      <c r="J43" s="553"/>
      <c r="K43" s="553"/>
      <c r="L43" s="553"/>
      <c r="M43" s="554"/>
    </row>
    <row r="44" spans="2:13" hidden="1" x14ac:dyDescent="0.2">
      <c r="B44" s="569" t="s">
        <v>554</v>
      </c>
      <c r="C44" s="570"/>
      <c r="D44" s="570"/>
      <c r="E44" s="570"/>
      <c r="F44" s="570"/>
      <c r="G44" s="570"/>
      <c r="H44" s="570"/>
      <c r="I44" s="570"/>
      <c r="J44" s="570"/>
      <c r="K44" s="570"/>
      <c r="L44" s="570"/>
      <c r="M44" s="571"/>
    </row>
    <row r="45" spans="2:13" hidden="1" x14ac:dyDescent="0.2">
      <c r="B45" s="569" t="s">
        <v>555</v>
      </c>
      <c r="C45" s="570"/>
      <c r="D45" s="570"/>
      <c r="E45" s="570"/>
      <c r="F45" s="570"/>
      <c r="G45" s="570"/>
      <c r="H45" s="570"/>
      <c r="I45" s="570"/>
      <c r="J45" s="570"/>
      <c r="K45" s="570"/>
      <c r="L45" s="570"/>
      <c r="M45" s="571"/>
    </row>
    <row r="46" spans="2:13" hidden="1" x14ac:dyDescent="0.2">
      <c r="B46" s="569" t="s">
        <v>556</v>
      </c>
      <c r="C46" s="570"/>
      <c r="D46" s="570"/>
      <c r="E46" s="570"/>
      <c r="F46" s="570"/>
      <c r="G46" s="570"/>
      <c r="H46" s="570"/>
      <c r="I46" s="570"/>
      <c r="J46" s="570"/>
      <c r="K46" s="570"/>
      <c r="L46" s="570"/>
      <c r="M46" s="571"/>
    </row>
    <row r="47" spans="2:13" hidden="1" x14ac:dyDescent="0.2">
      <c r="B47" s="572" t="s">
        <v>557</v>
      </c>
      <c r="C47" s="573"/>
      <c r="D47" s="573"/>
      <c r="E47" s="573"/>
      <c r="F47" s="573"/>
      <c r="G47" s="573"/>
      <c r="H47" s="573"/>
      <c r="I47" s="573"/>
      <c r="J47" s="573"/>
      <c r="K47" s="573"/>
      <c r="L47" s="573"/>
      <c r="M47" s="545"/>
    </row>
    <row r="48" spans="2:13" hidden="1" x14ac:dyDescent="0.2">
      <c r="B48" s="574" t="s">
        <v>558</v>
      </c>
      <c r="C48" s="575"/>
      <c r="D48" s="575"/>
      <c r="E48" s="575"/>
      <c r="F48" s="575"/>
      <c r="G48" s="575"/>
      <c r="H48" s="575"/>
      <c r="I48" s="575"/>
      <c r="J48" s="575"/>
      <c r="K48" s="575"/>
      <c r="L48" s="575"/>
      <c r="M48" s="576"/>
    </row>
    <row r="49" spans="2:13" ht="6" hidden="1" customHeight="1" x14ac:dyDescent="0.2">
      <c r="B49" s="562"/>
      <c r="C49" s="562"/>
      <c r="D49" s="562"/>
      <c r="E49" s="562"/>
      <c r="F49" s="562"/>
      <c r="G49" s="562"/>
      <c r="H49" s="562"/>
      <c r="I49" s="562"/>
      <c r="J49" s="562"/>
      <c r="K49" s="562"/>
      <c r="L49" s="562"/>
      <c r="M49" s="562"/>
    </row>
    <row r="50" spans="2:13" x14ac:dyDescent="0.2">
      <c r="B50" s="552" t="s">
        <v>559</v>
      </c>
      <c r="C50" s="553"/>
      <c r="D50" s="553"/>
      <c r="E50" s="553"/>
      <c r="F50" s="553"/>
      <c r="G50" s="553"/>
      <c r="H50" s="553"/>
      <c r="I50" s="553"/>
      <c r="J50" s="553"/>
      <c r="K50" s="553"/>
      <c r="L50" s="553"/>
      <c r="M50" s="554"/>
    </row>
    <row r="51" spans="2:13" x14ac:dyDescent="0.2">
      <c r="B51" s="569" t="s">
        <v>560</v>
      </c>
      <c r="C51" s="570"/>
      <c r="D51" s="570"/>
      <c r="E51" s="570"/>
      <c r="F51" s="570"/>
      <c r="G51" s="570"/>
      <c r="H51" s="570"/>
      <c r="I51" s="570"/>
      <c r="J51" s="570"/>
      <c r="K51" s="570"/>
      <c r="L51" s="570"/>
      <c r="M51" s="571"/>
    </row>
    <row r="52" spans="2:13" x14ac:dyDescent="0.2">
      <c r="B52" s="569" t="s">
        <v>561</v>
      </c>
      <c r="C52" s="570"/>
      <c r="D52" s="570"/>
      <c r="E52" s="570"/>
      <c r="F52" s="570"/>
      <c r="G52" s="570"/>
      <c r="H52" s="570"/>
      <c r="I52" s="570"/>
      <c r="J52" s="570"/>
      <c r="K52" s="570"/>
      <c r="L52" s="570"/>
      <c r="M52" s="571"/>
    </row>
    <row r="53" spans="2:13" x14ac:dyDescent="0.2">
      <c r="B53" s="577" t="s">
        <v>562</v>
      </c>
      <c r="C53" s="578"/>
      <c r="D53" s="578"/>
      <c r="E53" s="578"/>
      <c r="F53" s="578"/>
      <c r="G53" s="578"/>
      <c r="H53" s="578"/>
      <c r="I53" s="578"/>
      <c r="J53" s="578"/>
      <c r="K53" s="578"/>
      <c r="L53" s="578"/>
      <c r="M53" s="579"/>
    </row>
    <row r="54" spans="2:13" x14ac:dyDescent="0.2">
      <c r="B54" s="580" t="s">
        <v>563</v>
      </c>
      <c r="C54" s="581"/>
      <c r="D54" s="581"/>
      <c r="E54" s="581"/>
      <c r="F54" s="581"/>
      <c r="G54" s="581"/>
      <c r="H54" s="581"/>
      <c r="I54" s="581"/>
      <c r="J54" s="581"/>
      <c r="K54" s="581"/>
      <c r="L54" s="581"/>
      <c r="M54" s="582"/>
    </row>
    <row r="55" spans="2:13" x14ac:dyDescent="0.2">
      <c r="B55" s="583" t="s">
        <v>564</v>
      </c>
      <c r="C55" s="584"/>
      <c r="D55" s="584"/>
      <c r="E55" s="584"/>
      <c r="F55" s="584"/>
      <c r="G55" s="584"/>
      <c r="H55" s="584"/>
      <c r="I55" s="584"/>
      <c r="J55" s="584"/>
      <c r="K55" s="584"/>
      <c r="L55" s="584"/>
      <c r="M55" s="585"/>
    </row>
    <row r="56" spans="2:13" x14ac:dyDescent="0.2">
      <c r="B56" s="586" t="s">
        <v>565</v>
      </c>
      <c r="C56" s="587"/>
      <c r="D56" s="587"/>
      <c r="E56" s="587"/>
      <c r="F56" s="587"/>
      <c r="G56" s="587"/>
      <c r="H56" s="587"/>
      <c r="I56" s="587"/>
      <c r="J56" s="587"/>
      <c r="K56" s="587"/>
      <c r="L56" s="587"/>
      <c r="M56" s="588"/>
    </row>
    <row r="57" spans="2:13" x14ac:dyDescent="0.2">
      <c r="B57" s="589" t="s">
        <v>566</v>
      </c>
      <c r="C57" s="590"/>
      <c r="D57" s="590"/>
      <c r="E57" s="590"/>
      <c r="F57" s="590"/>
      <c r="G57" s="590"/>
      <c r="H57" s="590"/>
      <c r="I57" s="590"/>
      <c r="J57" s="590"/>
      <c r="K57" s="590"/>
      <c r="L57" s="590"/>
      <c r="M57" s="591"/>
    </row>
    <row r="58" spans="2:13" ht="12.75" customHeight="1" x14ac:dyDescent="0.2">
      <c r="B58" s="572" t="s">
        <v>567</v>
      </c>
      <c r="C58" s="592"/>
      <c r="D58" s="592"/>
      <c r="E58" s="592"/>
      <c r="F58" s="592"/>
      <c r="G58" s="592"/>
      <c r="H58" s="592"/>
      <c r="I58" s="592"/>
      <c r="J58" s="592"/>
      <c r="K58" s="592"/>
      <c r="L58" s="592"/>
      <c r="M58" s="593"/>
    </row>
    <row r="59" spans="2:13" ht="12.75" customHeight="1" x14ac:dyDescent="0.2">
      <c r="B59" s="594" t="s">
        <v>584</v>
      </c>
      <c r="C59" s="595"/>
      <c r="D59" s="595"/>
      <c r="E59" s="595"/>
      <c r="F59" s="595"/>
      <c r="G59" s="595"/>
      <c r="H59" s="595"/>
      <c r="I59" s="595"/>
      <c r="J59" s="595"/>
      <c r="K59" s="595"/>
      <c r="L59" s="595"/>
      <c r="M59" s="596"/>
    </row>
    <row r="60" spans="2:13" x14ac:dyDescent="0.2">
      <c r="B60" s="569" t="s">
        <v>568</v>
      </c>
      <c r="C60" s="597"/>
      <c r="D60" s="597"/>
      <c r="E60" s="597"/>
      <c r="F60" s="597"/>
      <c r="G60" s="597"/>
      <c r="H60" s="597"/>
      <c r="I60" s="597"/>
      <c r="J60" s="597"/>
      <c r="K60" s="597"/>
      <c r="L60" s="597"/>
      <c r="M60" s="598"/>
    </row>
    <row r="61" spans="2:13" ht="12.75" customHeight="1" x14ac:dyDescent="0.2">
      <c r="B61" s="569" t="s">
        <v>569</v>
      </c>
      <c r="C61" s="597"/>
      <c r="D61" s="597"/>
      <c r="E61" s="597"/>
      <c r="F61" s="597"/>
      <c r="G61" s="597"/>
      <c r="H61" s="597"/>
      <c r="I61" s="597"/>
      <c r="J61" s="597"/>
      <c r="K61" s="597"/>
      <c r="L61" s="597"/>
      <c r="M61" s="598"/>
    </row>
    <row r="62" spans="2:13" ht="12.75" customHeight="1" x14ac:dyDescent="0.2">
      <c r="B62" s="569" t="s">
        <v>585</v>
      </c>
      <c r="C62" s="597"/>
      <c r="D62" s="597"/>
      <c r="E62" s="597"/>
      <c r="F62" s="597"/>
      <c r="G62" s="597"/>
      <c r="H62" s="597"/>
      <c r="I62" s="597"/>
      <c r="J62" s="597"/>
      <c r="K62" s="597"/>
      <c r="L62" s="597"/>
      <c r="M62" s="598"/>
    </row>
    <row r="63" spans="2:13" ht="12.75" customHeight="1" x14ac:dyDescent="0.2">
      <c r="B63" s="569" t="s">
        <v>570</v>
      </c>
      <c r="C63" s="597"/>
      <c r="D63" s="597"/>
      <c r="E63" s="597"/>
      <c r="F63" s="597"/>
      <c r="G63" s="597"/>
      <c r="H63" s="597"/>
      <c r="I63" s="597"/>
      <c r="J63" s="597"/>
      <c r="K63" s="597"/>
      <c r="L63" s="597"/>
      <c r="M63" s="598"/>
    </row>
    <row r="64" spans="2:13" ht="12.75" customHeight="1" x14ac:dyDescent="0.2">
      <c r="B64" s="572" t="s">
        <v>571</v>
      </c>
      <c r="C64" s="592"/>
      <c r="D64" s="592"/>
      <c r="E64" s="592"/>
      <c r="F64" s="592"/>
      <c r="G64" s="592"/>
      <c r="H64" s="592"/>
      <c r="I64" s="592"/>
      <c r="J64" s="592"/>
      <c r="K64" s="592"/>
      <c r="L64" s="592"/>
      <c r="M64" s="593"/>
    </row>
    <row r="65" spans="2:13" ht="12.75" customHeight="1" x14ac:dyDescent="0.2">
      <c r="B65" s="599" t="s">
        <v>572</v>
      </c>
      <c r="C65" s="595"/>
      <c r="D65" s="595"/>
      <c r="E65" s="595"/>
      <c r="F65" s="595"/>
      <c r="G65" s="595"/>
      <c r="H65" s="595"/>
      <c r="I65" s="595"/>
      <c r="J65" s="595"/>
      <c r="K65" s="595"/>
      <c r="L65" s="595"/>
      <c r="M65" s="596"/>
    </row>
    <row r="66" spans="2:13" ht="12" customHeight="1" x14ac:dyDescent="0.25">
      <c r="B66" s="572" t="s">
        <v>586</v>
      </c>
      <c r="C66" s="600"/>
      <c r="D66" s="600"/>
      <c r="E66" s="600"/>
      <c r="F66" s="600"/>
      <c r="G66" s="600"/>
      <c r="H66" s="600"/>
      <c r="I66" s="600"/>
      <c r="J66" s="600"/>
      <c r="K66" s="600"/>
      <c r="L66" s="600"/>
      <c r="M66" s="601"/>
    </row>
    <row r="67" spans="2:13" x14ac:dyDescent="0.2">
      <c r="B67" s="572" t="s">
        <v>573</v>
      </c>
      <c r="C67" s="600"/>
      <c r="D67" s="600"/>
      <c r="E67" s="600"/>
      <c r="F67" s="600"/>
      <c r="G67" s="600"/>
      <c r="H67" s="600"/>
      <c r="I67" s="600"/>
      <c r="J67" s="600"/>
      <c r="K67" s="600"/>
      <c r="L67" s="600"/>
      <c r="M67" s="601"/>
    </row>
    <row r="68" spans="2:13" x14ac:dyDescent="0.2">
      <c r="B68" s="602" t="s">
        <v>574</v>
      </c>
      <c r="C68" s="603"/>
      <c r="D68" s="603"/>
      <c r="E68" s="603"/>
      <c r="F68" s="603"/>
      <c r="G68" s="603"/>
      <c r="H68" s="603"/>
      <c r="I68" s="603"/>
      <c r="J68" s="603"/>
      <c r="K68" s="603"/>
      <c r="L68" s="603"/>
      <c r="M68" s="604"/>
    </row>
    <row r="69" spans="2:13" x14ac:dyDescent="0.2">
      <c r="B69" s="569" t="s">
        <v>575</v>
      </c>
      <c r="C69" s="570"/>
      <c r="D69" s="570"/>
      <c r="E69" s="570"/>
      <c r="F69" s="570"/>
      <c r="G69" s="570"/>
      <c r="H69" s="570"/>
      <c r="I69" s="570"/>
      <c r="J69" s="570"/>
      <c r="K69" s="570"/>
      <c r="L69" s="570"/>
      <c r="M69" s="571"/>
    </row>
    <row r="70" spans="2:13" ht="6" customHeight="1" x14ac:dyDescent="0.2">
      <c r="B70" s="562"/>
      <c r="C70" s="562"/>
      <c r="D70" s="562"/>
      <c r="E70" s="562"/>
      <c r="F70" s="562"/>
      <c r="G70" s="562"/>
      <c r="H70" s="562"/>
      <c r="I70" s="562"/>
      <c r="J70" s="562"/>
      <c r="K70" s="562"/>
      <c r="L70" s="562"/>
      <c r="M70" s="562"/>
    </row>
    <row r="71" spans="2:13" x14ac:dyDescent="0.2">
      <c r="B71" s="552" t="s">
        <v>576</v>
      </c>
      <c r="C71" s="553"/>
      <c r="D71" s="553"/>
      <c r="E71" s="553"/>
      <c r="F71" s="553"/>
      <c r="G71" s="553"/>
      <c r="H71" s="553"/>
      <c r="I71" s="553"/>
      <c r="J71" s="553"/>
      <c r="K71" s="553"/>
      <c r="L71" s="553"/>
      <c r="M71" s="554"/>
    </row>
    <row r="72" spans="2:13" x14ac:dyDescent="0.2">
      <c r="B72" s="569" t="s">
        <v>577</v>
      </c>
      <c r="C72" s="570"/>
      <c r="D72" s="570"/>
      <c r="E72" s="570"/>
      <c r="F72" s="570"/>
      <c r="G72" s="570"/>
      <c r="H72" s="570"/>
      <c r="I72" s="570"/>
      <c r="J72" s="570"/>
      <c r="K72" s="570"/>
      <c r="L72" s="570"/>
      <c r="M72" s="571"/>
    </row>
    <row r="73" spans="2:13" ht="6" customHeight="1" x14ac:dyDescent="0.2">
      <c r="B73" s="562"/>
      <c r="C73" s="562"/>
      <c r="D73" s="562"/>
      <c r="E73" s="562"/>
      <c r="F73" s="562"/>
      <c r="G73" s="562"/>
      <c r="H73" s="562"/>
      <c r="I73" s="562"/>
      <c r="J73" s="562"/>
      <c r="K73" s="562"/>
      <c r="L73" s="562"/>
      <c r="M73" s="562"/>
    </row>
    <row r="74" spans="2:13" x14ac:dyDescent="0.2">
      <c r="B74" s="552" t="s">
        <v>578</v>
      </c>
      <c r="C74" s="553"/>
      <c r="D74" s="553"/>
      <c r="E74" s="553"/>
      <c r="F74" s="553"/>
      <c r="G74" s="553"/>
      <c r="H74" s="553"/>
      <c r="I74" s="553"/>
      <c r="J74" s="553"/>
      <c r="K74" s="553"/>
      <c r="L74" s="553"/>
      <c r="M74" s="554"/>
    </row>
    <row r="75" spans="2:13" x14ac:dyDescent="0.2">
      <c r="B75" s="569" t="s">
        <v>579</v>
      </c>
      <c r="C75" s="570"/>
      <c r="D75" s="570"/>
      <c r="E75" s="570"/>
      <c r="F75" s="570"/>
      <c r="G75" s="570"/>
      <c r="H75" s="570"/>
      <c r="I75" s="570"/>
      <c r="J75" s="570"/>
      <c r="K75" s="570"/>
      <c r="L75" s="570"/>
      <c r="M75" s="571"/>
    </row>
    <row r="76" spans="2:13" x14ac:dyDescent="0.2">
      <c r="B76" s="569" t="s">
        <v>580</v>
      </c>
      <c r="C76" s="570"/>
      <c r="D76" s="570"/>
      <c r="E76" s="570"/>
      <c r="F76" s="570"/>
      <c r="G76" s="570"/>
      <c r="H76" s="570"/>
      <c r="I76" s="570"/>
      <c r="J76" s="570"/>
      <c r="K76" s="570"/>
      <c r="L76" s="570"/>
      <c r="M76" s="571"/>
    </row>
    <row r="77" spans="2:13" x14ac:dyDescent="0.2">
      <c r="B77" s="569" t="s">
        <v>581</v>
      </c>
      <c r="C77" s="570"/>
      <c r="D77" s="570"/>
      <c r="E77" s="570"/>
      <c r="F77" s="570"/>
      <c r="G77" s="570"/>
      <c r="H77" s="570"/>
      <c r="I77" s="570"/>
      <c r="J77" s="570"/>
      <c r="K77" s="570"/>
      <c r="L77" s="570"/>
      <c r="M77" s="571"/>
    </row>
    <row r="78" spans="2:13" ht="6" customHeight="1" x14ac:dyDescent="0.2">
      <c r="B78" s="562"/>
      <c r="C78" s="562"/>
      <c r="D78" s="562"/>
      <c r="E78" s="562"/>
      <c r="F78" s="562"/>
      <c r="G78" s="562"/>
      <c r="H78" s="562"/>
      <c r="I78" s="562"/>
      <c r="J78" s="562"/>
      <c r="K78" s="562"/>
      <c r="L78" s="562"/>
      <c r="M78" s="562"/>
    </row>
    <row r="79" spans="2:13" ht="6" customHeight="1" x14ac:dyDescent="0.2">
      <c r="B79" s="562"/>
      <c r="C79" s="562"/>
      <c r="D79" s="562"/>
      <c r="E79" s="562"/>
      <c r="F79" s="562"/>
      <c r="G79" s="562"/>
      <c r="H79" s="562"/>
      <c r="I79" s="562"/>
      <c r="J79" s="562"/>
      <c r="K79" s="562"/>
      <c r="L79" s="562"/>
      <c r="M79" s="562"/>
    </row>
    <row r="93" x14ac:dyDescent="0.2"/>
    <row r="94" ht="12.75" customHeight="1" x14ac:dyDescent="0.2"/>
  </sheetData>
  <sheetProtection password="CA99" sheet="1" objects="1" scenarios="1"/>
  <mergeCells count="3">
    <mergeCell ref="L12:M12"/>
    <mergeCell ref="B36:C36"/>
    <mergeCell ref="B37:C37"/>
  </mergeCells>
  <hyperlinks>
    <hyperlink ref="B28" location="Instructions!B35" display="Overview" xr:uid="{00000000-0004-0000-0300-000000000000}"/>
    <hyperlink ref="B29" location="Instructions!B39" display="Before you begin" xr:uid="{00000000-0004-0000-0300-000001000000}"/>
    <hyperlink ref="B30" location="Instructions!B43" display="Structure of the Personal Information Form" xr:uid="{00000000-0004-0000-0300-000002000000}"/>
    <hyperlink ref="B31" location="Instructions!B50" display="Filling up the sections of the form" xr:uid="{00000000-0004-0000-0300-000003000000}"/>
    <hyperlink ref="B32" location="Instructions!B71" display="Validating the sheets" xr:uid="{00000000-0004-0000-0300-000004000000}"/>
    <hyperlink ref="B33" location="Instructions!B74" display="Printing" xr:uid="{00000000-0004-0000-0300-000005000000}"/>
  </hyperlinks>
  <printOptions horizontalCentered="1"/>
  <pageMargins left="0.7" right="0.7" top="0.75" bottom="0.75" header="0.3" footer="0.3"/>
  <pageSetup scale="68" orientation="portrait" r:id="rId1"/>
  <colBreaks count="1" manualBreakCount="1">
    <brk id="68" max="1048575"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S154"/>
  <sheetViews>
    <sheetView showGridLines="0" showRowColHeaders="0" topLeftCell="A48" zoomScaleNormal="100" zoomScaleSheetLayoutView="100" workbookViewId="0">
      <selection activeCell="D64" sqref="D64:F64"/>
    </sheetView>
  </sheetViews>
  <sheetFormatPr defaultColWidth="0" defaultRowHeight="15" zeroHeight="1" x14ac:dyDescent="0.25"/>
  <cols>
    <col min="1" max="1" width="1.42578125" customWidth="1"/>
    <col min="2" max="2" width="37.140625" customWidth="1"/>
    <col min="3" max="3" width="1.140625" style="37" customWidth="1"/>
    <col min="4" max="4" width="32.85546875" customWidth="1"/>
    <col min="5" max="5" width="1.140625" customWidth="1"/>
    <col min="6" max="6" width="34" bestFit="1" customWidth="1"/>
    <col min="7" max="7" width="1.140625" customWidth="1"/>
    <col min="8" max="8" width="37.85546875" customWidth="1"/>
    <col min="9" max="9" width="2.7109375" customWidth="1"/>
    <col min="10" max="10" width="4" customWidth="1"/>
    <col min="11" max="11" width="1.42578125" customWidth="1"/>
    <col min="12" max="12" width="13.42578125" hidden="1" customWidth="1"/>
    <col min="13" max="13" width="20.28515625" hidden="1" customWidth="1"/>
    <col min="14" max="14" width="26.5703125" hidden="1" customWidth="1"/>
    <col min="15" max="15" width="49" style="32" hidden="1" customWidth="1"/>
    <col min="16" max="16" width="12.28515625" style="105" hidden="1" customWidth="1"/>
    <col min="17" max="17" width="12.7109375" style="105" hidden="1" customWidth="1"/>
    <col min="18" max="18" width="12.85546875" style="32" hidden="1" customWidth="1"/>
    <col min="19" max="19" width="0" hidden="1" customWidth="1"/>
    <col min="20" max="16384" width="9.140625" hidden="1"/>
  </cols>
  <sheetData>
    <row r="1" spans="1:19" ht="12" customHeight="1" x14ac:dyDescent="0.25">
      <c r="A1" s="525"/>
      <c r="B1" s="1"/>
      <c r="C1" s="2"/>
      <c r="D1" s="2"/>
      <c r="E1" s="1"/>
      <c r="F1" s="1"/>
      <c r="G1" s="1"/>
      <c r="H1" s="1"/>
      <c r="I1" s="3"/>
      <c r="J1" s="4"/>
      <c r="K1" s="4"/>
    </row>
    <row r="2" spans="1:19" ht="12" customHeight="1" x14ac:dyDescent="0.25">
      <c r="A2" s="772" t="s">
        <v>0</v>
      </c>
      <c r="B2" s="773"/>
      <c r="C2" s="773"/>
      <c r="D2" s="773"/>
      <c r="E2" s="773"/>
      <c r="F2" s="773"/>
      <c r="G2" s="773"/>
      <c r="H2" s="773"/>
      <c r="I2" s="774"/>
      <c r="J2" s="4"/>
      <c r="K2" s="4"/>
      <c r="L2" s="785" t="s">
        <v>223</v>
      </c>
      <c r="M2" s="785"/>
      <c r="N2" s="785"/>
      <c r="O2" s="785"/>
      <c r="P2" s="785"/>
      <c r="Q2" s="785"/>
      <c r="R2" s="785"/>
    </row>
    <row r="3" spans="1:19" ht="12" customHeight="1" x14ac:dyDescent="0.25">
      <c r="A3" s="772"/>
      <c r="B3" s="773"/>
      <c r="C3" s="773"/>
      <c r="D3" s="773"/>
      <c r="E3" s="773"/>
      <c r="F3" s="773"/>
      <c r="G3" s="773"/>
      <c r="H3" s="773"/>
      <c r="I3" s="774"/>
      <c r="J3" s="6"/>
      <c r="K3" s="6"/>
      <c r="L3" s="785"/>
      <c r="M3" s="785"/>
      <c r="N3" s="785"/>
      <c r="O3" s="785"/>
      <c r="P3" s="785"/>
      <c r="Q3" s="785"/>
      <c r="R3" s="785"/>
    </row>
    <row r="4" spans="1:19" ht="12" customHeight="1" x14ac:dyDescent="0.25">
      <c r="A4" s="772"/>
      <c r="B4" s="773"/>
      <c r="C4" s="773"/>
      <c r="D4" s="773"/>
      <c r="E4" s="773"/>
      <c r="F4" s="773"/>
      <c r="G4" s="773"/>
      <c r="H4" s="773"/>
      <c r="I4" s="774"/>
      <c r="J4" s="4"/>
      <c r="K4" s="4"/>
      <c r="L4" s="785"/>
      <c r="M4" s="785"/>
      <c r="N4" s="785"/>
      <c r="O4" s="785"/>
      <c r="P4" s="785"/>
      <c r="Q4" s="785"/>
      <c r="R4" s="785"/>
    </row>
    <row r="5" spans="1:19" ht="12" customHeight="1" x14ac:dyDescent="0.25">
      <c r="A5" s="772"/>
      <c r="B5" s="773"/>
      <c r="C5" s="773"/>
      <c r="D5" s="773"/>
      <c r="E5" s="773"/>
      <c r="F5" s="773"/>
      <c r="G5" s="773"/>
      <c r="H5" s="773"/>
      <c r="I5" s="774"/>
      <c r="J5" s="4"/>
      <c r="K5" s="4"/>
      <c r="L5" s="785"/>
      <c r="M5" s="785"/>
      <c r="N5" s="785"/>
      <c r="O5" s="785"/>
      <c r="P5" s="785"/>
      <c r="Q5" s="785"/>
      <c r="R5" s="785"/>
    </row>
    <row r="6" spans="1:19" ht="12" customHeight="1" thickBot="1" x14ac:dyDescent="0.3">
      <c r="A6" s="775"/>
      <c r="B6" s="776"/>
      <c r="C6" s="776"/>
      <c r="D6" s="776"/>
      <c r="E6" s="776"/>
      <c r="F6" s="776"/>
      <c r="G6" s="776"/>
      <c r="H6" s="776"/>
      <c r="I6" s="777"/>
      <c r="J6" s="4"/>
      <c r="K6" s="4"/>
    </row>
    <row r="7" spans="1:19" x14ac:dyDescent="0.25">
      <c r="A7" s="7"/>
      <c r="B7" s="4"/>
      <c r="C7" s="8"/>
      <c r="D7" s="8"/>
      <c r="E7" s="4"/>
      <c r="F7" s="4"/>
      <c r="G7" s="4"/>
      <c r="H7" s="9"/>
      <c r="I7" s="10"/>
      <c r="J7" s="4"/>
      <c r="K7" s="4"/>
      <c r="O7" s="102" t="s">
        <v>173</v>
      </c>
      <c r="P7" s="101" t="s">
        <v>174</v>
      </c>
      <c r="Q7" s="101" t="s">
        <v>175</v>
      </c>
      <c r="R7" s="101"/>
    </row>
    <row r="8" spans="1:19" x14ac:dyDescent="0.25">
      <c r="A8" s="41"/>
      <c r="B8" s="25" t="s">
        <v>176</v>
      </c>
      <c r="C8" s="42"/>
      <c r="D8" s="43"/>
      <c r="E8" s="44" t="s">
        <v>1</v>
      </c>
      <c r="F8" s="92" t="s">
        <v>780</v>
      </c>
      <c r="G8" s="4"/>
      <c r="H8" s="9"/>
      <c r="I8" s="45"/>
      <c r="J8" s="4"/>
      <c r="K8" s="4"/>
      <c r="O8" s="103" t="str">
        <f>B8</f>
        <v>Employee Name which will be dispalyed in Company Record - as per - *</v>
      </c>
      <c r="P8" s="104" t="str">
        <f>IF(F8="","Check","Validated")</f>
        <v>Validated</v>
      </c>
      <c r="Q8" s="104" t="s">
        <v>2</v>
      </c>
      <c r="R8" s="104"/>
    </row>
    <row r="9" spans="1:19" s="5" customFormat="1" ht="6" customHeight="1" x14ac:dyDescent="0.25">
      <c r="A9" s="41"/>
      <c r="B9" s="6"/>
      <c r="C9" s="46"/>
      <c r="D9" s="46"/>
      <c r="E9" s="6"/>
      <c r="F9" s="6"/>
      <c r="G9" s="6"/>
      <c r="H9" s="47"/>
      <c r="I9" s="45"/>
      <c r="J9" s="4"/>
      <c r="K9" s="4"/>
      <c r="O9" s="103"/>
      <c r="P9" s="104"/>
      <c r="Q9" s="104"/>
      <c r="R9" s="104"/>
      <c r="S9"/>
    </row>
    <row r="10" spans="1:19" x14ac:dyDescent="0.25">
      <c r="A10" s="41"/>
      <c r="B10" s="98" t="s">
        <v>130</v>
      </c>
      <c r="C10" s="48" t="s">
        <v>1</v>
      </c>
      <c r="D10" s="755"/>
      <c r="E10" s="756"/>
      <c r="F10" s="757"/>
      <c r="G10" s="29"/>
      <c r="H10" s="29"/>
      <c r="I10" s="45"/>
      <c r="O10" s="103" t="str">
        <f>B10</f>
        <v>First Name*</v>
      </c>
      <c r="P10" s="104" t="str">
        <f>IF(F_Name="","Check","Validated")</f>
        <v>Check</v>
      </c>
      <c r="Q10" s="104" t="s">
        <v>2</v>
      </c>
      <c r="R10" s="104"/>
    </row>
    <row r="11" spans="1:19" x14ac:dyDescent="0.25">
      <c r="A11" s="41"/>
      <c r="B11" s="24" t="s">
        <v>3</v>
      </c>
      <c r="C11" s="48" t="s">
        <v>1</v>
      </c>
      <c r="D11" s="755"/>
      <c r="E11" s="756"/>
      <c r="F11" s="757"/>
      <c r="G11" s="29"/>
      <c r="H11" s="29"/>
      <c r="I11" s="45"/>
      <c r="O11" s="103" t="str">
        <f>B11</f>
        <v>Middle Name</v>
      </c>
      <c r="P11" s="104"/>
      <c r="Q11" s="104"/>
      <c r="R11" s="104"/>
    </row>
    <row r="12" spans="1:19" x14ac:dyDescent="0.25">
      <c r="A12" s="41"/>
      <c r="B12" s="98" t="s">
        <v>131</v>
      </c>
      <c r="C12" s="48" t="s">
        <v>1</v>
      </c>
      <c r="D12" s="755"/>
      <c r="E12" s="756"/>
      <c r="F12" s="757"/>
      <c r="G12" s="29"/>
      <c r="H12" s="29"/>
      <c r="I12" s="45"/>
      <c r="O12" s="103" t="str">
        <f>B12</f>
        <v>Last Name*</v>
      </c>
      <c r="P12" s="104" t="str">
        <f>IF(L_Name="","Check","Validated")</f>
        <v>Check</v>
      </c>
      <c r="Q12" s="104" t="s">
        <v>2</v>
      </c>
      <c r="R12" s="104"/>
    </row>
    <row r="13" spans="1:19" s="5" customFormat="1" ht="6" customHeight="1" x14ac:dyDescent="0.25">
      <c r="A13" s="41"/>
      <c r="B13" s="6"/>
      <c r="C13" s="46"/>
      <c r="D13" s="46"/>
      <c r="E13" s="6"/>
      <c r="F13" s="6"/>
      <c r="G13" s="6"/>
      <c r="H13" s="47"/>
      <c r="I13" s="45"/>
      <c r="J13" s="4"/>
      <c r="K13" s="4"/>
      <c r="O13" s="103"/>
      <c r="P13" s="104"/>
      <c r="Q13" s="104"/>
      <c r="R13" s="104"/>
      <c r="S13"/>
    </row>
    <row r="14" spans="1:19" x14ac:dyDescent="0.25">
      <c r="A14" s="41"/>
      <c r="B14" s="25" t="s">
        <v>43</v>
      </c>
      <c r="C14" s="42"/>
      <c r="D14" s="43"/>
      <c r="E14" s="48" t="s">
        <v>1</v>
      </c>
      <c r="F14" s="778" t="str">
        <f>F_Name&amp;" "&amp;M_Name&amp;" "&amp;L_Name</f>
        <v xml:space="preserve">  </v>
      </c>
      <c r="G14" s="779"/>
      <c r="H14" s="780"/>
      <c r="I14" s="45"/>
      <c r="O14" s="103" t="str">
        <f t="shared" ref="O14:O34" si="0">B14</f>
        <v>Employee Name [Expanded Name to be Maintained in Company Records]</v>
      </c>
      <c r="R14" s="104"/>
    </row>
    <row r="15" spans="1:19" ht="6" customHeight="1" x14ac:dyDescent="0.25">
      <c r="A15" s="41"/>
      <c r="B15" s="29"/>
      <c r="C15" s="49"/>
      <c r="D15" s="29"/>
      <c r="E15" s="29"/>
      <c r="F15" s="29"/>
      <c r="G15" s="29"/>
      <c r="H15" s="29"/>
      <c r="I15" s="45"/>
      <c r="O15" s="103"/>
      <c r="R15" s="104"/>
    </row>
    <row r="16" spans="1:19" x14ac:dyDescent="0.25">
      <c r="A16" s="41"/>
      <c r="B16" s="12" t="s">
        <v>132</v>
      </c>
      <c r="C16" s="51" t="s">
        <v>1</v>
      </c>
      <c r="D16" s="755"/>
      <c r="E16" s="756"/>
      <c r="F16" s="757"/>
      <c r="G16" s="29"/>
      <c r="H16" s="39" t="s">
        <v>4</v>
      </c>
      <c r="I16" s="45"/>
      <c r="O16" s="103" t="str">
        <f t="shared" si="0"/>
        <v>Father's Name*</v>
      </c>
      <c r="P16" s="105" t="str">
        <f>IF(D16="","Check","Validated")</f>
        <v>Check</v>
      </c>
      <c r="Q16" s="105" t="s">
        <v>2</v>
      </c>
      <c r="R16" s="104"/>
    </row>
    <row r="17" spans="1:18" x14ac:dyDescent="0.25">
      <c r="A17" s="41"/>
      <c r="B17" s="50" t="s">
        <v>21</v>
      </c>
      <c r="C17" s="51" t="s">
        <v>1</v>
      </c>
      <c r="D17" s="758" t="s">
        <v>798</v>
      </c>
      <c r="E17" s="759"/>
      <c r="F17" s="759"/>
      <c r="G17" s="29"/>
      <c r="H17" s="13" t="s">
        <v>5</v>
      </c>
      <c r="I17" s="45"/>
      <c r="O17" s="103" t="str">
        <f t="shared" si="0"/>
        <v xml:space="preserve">Employee No </v>
      </c>
      <c r="R17" s="104"/>
    </row>
    <row r="18" spans="1:18" x14ac:dyDescent="0.25">
      <c r="A18" s="41"/>
      <c r="B18" s="12" t="s">
        <v>126</v>
      </c>
      <c r="C18" s="51" t="s">
        <v>1</v>
      </c>
      <c r="D18" s="760"/>
      <c r="E18" s="761"/>
      <c r="F18" s="762"/>
      <c r="G18" s="29"/>
      <c r="H18" s="52" t="s">
        <v>6</v>
      </c>
      <c r="I18" s="45"/>
      <c r="O18" s="103" t="str">
        <f t="shared" si="0"/>
        <v>Date of Joining (DD/MMM/YY)</v>
      </c>
      <c r="R18" s="104"/>
    </row>
    <row r="19" spans="1:18" x14ac:dyDescent="0.25">
      <c r="A19" s="41"/>
      <c r="B19" s="12" t="s">
        <v>133</v>
      </c>
      <c r="C19" s="51" t="s">
        <v>1</v>
      </c>
      <c r="D19" s="760"/>
      <c r="E19" s="761"/>
      <c r="F19" s="762"/>
      <c r="G19" s="29"/>
      <c r="H19" s="14" t="s">
        <v>7</v>
      </c>
      <c r="I19" s="45"/>
      <c r="O19" s="103" t="s">
        <v>717</v>
      </c>
      <c r="P19" s="105" t="str">
        <f ca="1">IF(((TODAY()-D19)/365)&gt;18,"Validated","Check")</f>
        <v>Validated</v>
      </c>
      <c r="Q19" s="105" t="s">
        <v>2</v>
      </c>
      <c r="R19" s="104"/>
    </row>
    <row r="20" spans="1:18" x14ac:dyDescent="0.25">
      <c r="A20" s="41"/>
      <c r="B20" s="12" t="s">
        <v>120</v>
      </c>
      <c r="C20" s="51" t="s">
        <v>1</v>
      </c>
      <c r="D20" s="765" t="s">
        <v>122</v>
      </c>
      <c r="E20" s="766"/>
      <c r="F20" s="767"/>
      <c r="G20" s="29"/>
      <c r="H20" s="29"/>
      <c r="I20" s="45"/>
      <c r="O20" s="103" t="str">
        <f t="shared" si="0"/>
        <v>Type of Employment</v>
      </c>
      <c r="R20" s="104"/>
    </row>
    <row r="21" spans="1:18" hidden="1" x14ac:dyDescent="0.25">
      <c r="A21" s="41"/>
      <c r="B21" s="50"/>
      <c r="C21" s="51" t="s">
        <v>1</v>
      </c>
      <c r="D21" s="765"/>
      <c r="E21" s="766"/>
      <c r="F21" s="767"/>
      <c r="G21" s="29"/>
      <c r="H21" s="29"/>
      <c r="I21" s="45"/>
      <c r="O21" s="103">
        <f t="shared" si="0"/>
        <v>0</v>
      </c>
      <c r="R21" s="104"/>
    </row>
    <row r="22" spans="1:18" x14ac:dyDescent="0.25">
      <c r="A22" s="41"/>
      <c r="B22" s="50" t="s">
        <v>23</v>
      </c>
      <c r="C22" s="51" t="s">
        <v>1</v>
      </c>
      <c r="D22" s="758"/>
      <c r="E22" s="759"/>
      <c r="F22" s="759"/>
      <c r="G22" s="29"/>
      <c r="H22" s="29"/>
      <c r="I22" s="45"/>
      <c r="O22" s="103" t="str">
        <f t="shared" si="0"/>
        <v>Designation</v>
      </c>
      <c r="R22" s="104"/>
    </row>
    <row r="23" spans="1:18" x14ac:dyDescent="0.25">
      <c r="A23" s="41"/>
      <c r="B23" s="12" t="s">
        <v>134</v>
      </c>
      <c r="C23" s="51" t="s">
        <v>1</v>
      </c>
      <c r="D23" s="90"/>
      <c r="E23" s="93"/>
      <c r="F23" s="92"/>
      <c r="G23" s="29"/>
      <c r="H23" s="29"/>
      <c r="I23" s="45"/>
      <c r="O23" s="103" t="str">
        <f t="shared" si="0"/>
        <v>Joining Location*</v>
      </c>
      <c r="P23" s="105" t="str">
        <f>IF(D23="","Check","Validated")</f>
        <v>Check</v>
      </c>
      <c r="Q23" s="105" t="s">
        <v>2</v>
      </c>
      <c r="R23" s="104"/>
    </row>
    <row r="24" spans="1:18" ht="6" customHeight="1" x14ac:dyDescent="0.25">
      <c r="A24" s="41"/>
      <c r="B24" s="29"/>
      <c r="C24" s="49"/>
      <c r="D24" s="29"/>
      <c r="E24" s="29"/>
      <c r="F24" s="29"/>
      <c r="G24" s="29"/>
      <c r="H24" s="29"/>
      <c r="I24" s="45"/>
      <c r="O24" s="103"/>
      <c r="R24" s="104"/>
    </row>
    <row r="25" spans="1:18" x14ac:dyDescent="0.25">
      <c r="A25" s="41"/>
      <c r="B25" s="12" t="s">
        <v>135</v>
      </c>
      <c r="C25" s="51" t="s">
        <v>1</v>
      </c>
      <c r="D25" s="765"/>
      <c r="E25" s="766"/>
      <c r="F25" s="767"/>
      <c r="G25" s="29"/>
      <c r="H25" s="29"/>
      <c r="I25" s="45"/>
      <c r="O25" s="103" t="str">
        <f t="shared" si="0"/>
        <v>Gender*</v>
      </c>
      <c r="P25" s="105" t="str">
        <f>IF(D25="","Check","Validated")</f>
        <v>Check</v>
      </c>
      <c r="Q25" s="105" t="s">
        <v>2</v>
      </c>
      <c r="R25" s="104"/>
    </row>
    <row r="26" spans="1:18" x14ac:dyDescent="0.25">
      <c r="A26" s="41"/>
      <c r="B26" s="12" t="s">
        <v>136</v>
      </c>
      <c r="C26" s="51" t="s">
        <v>1</v>
      </c>
      <c r="D26" s="765"/>
      <c r="E26" s="766"/>
      <c r="F26" s="767"/>
      <c r="G26" s="29"/>
      <c r="H26" s="29"/>
      <c r="I26" s="45"/>
      <c r="O26" s="103" t="str">
        <f t="shared" si="0"/>
        <v>Marital Status*</v>
      </c>
      <c r="P26" s="105" t="str">
        <f>IF(D26="","Check","Validated")</f>
        <v>Check</v>
      </c>
      <c r="Q26" s="105" t="s">
        <v>2</v>
      </c>
      <c r="R26" s="104"/>
    </row>
    <row r="27" spans="1:18" x14ac:dyDescent="0.25">
      <c r="A27" s="41"/>
      <c r="B27" s="12" t="s">
        <v>137</v>
      </c>
      <c r="C27" s="51" t="s">
        <v>1</v>
      </c>
      <c r="D27" s="765"/>
      <c r="E27" s="766"/>
      <c r="F27" s="767"/>
      <c r="G27" s="29"/>
      <c r="H27" s="29"/>
      <c r="I27" s="45"/>
      <c r="O27" s="103" t="str">
        <f t="shared" si="0"/>
        <v>Blood Group*</v>
      </c>
      <c r="P27" s="105" t="str">
        <f>IF(D27="","Check","Validated")</f>
        <v>Check</v>
      </c>
      <c r="Q27" s="105" t="s">
        <v>2</v>
      </c>
      <c r="R27" s="104"/>
    </row>
    <row r="28" spans="1:18" x14ac:dyDescent="0.25">
      <c r="A28" s="41"/>
      <c r="B28" s="12" t="s">
        <v>138</v>
      </c>
      <c r="C28" s="51" t="s">
        <v>1</v>
      </c>
      <c r="D28" s="758"/>
      <c r="E28" s="759"/>
      <c r="F28" s="759"/>
      <c r="G28" s="29"/>
      <c r="H28" s="29"/>
      <c r="I28" s="45"/>
      <c r="O28" s="103" t="str">
        <f t="shared" si="0"/>
        <v>Nationality*</v>
      </c>
      <c r="P28" s="105" t="str">
        <f>IF(D28="","Check","Validated")</f>
        <v>Check</v>
      </c>
      <c r="Q28" s="105" t="s">
        <v>2</v>
      </c>
      <c r="R28" s="104"/>
    </row>
    <row r="29" spans="1:18" hidden="1" x14ac:dyDescent="0.25">
      <c r="A29" s="41"/>
      <c r="B29" s="12" t="s">
        <v>139</v>
      </c>
      <c r="C29" s="51" t="s">
        <v>1</v>
      </c>
      <c r="D29" s="765"/>
      <c r="E29" s="766"/>
      <c r="F29" s="767"/>
      <c r="G29" s="29"/>
      <c r="H29" s="29"/>
      <c r="I29" s="45"/>
      <c r="O29" s="103" t="str">
        <f t="shared" si="0"/>
        <v>Kannadiga/Non-Kannadiga*</v>
      </c>
      <c r="P29" s="105" t="str">
        <f>IF(OR(AND(D23="Bangalore",D29=""),AND(D23="",D29="")),"Check","Validated")</f>
        <v>Check</v>
      </c>
      <c r="Q29" s="105" t="s">
        <v>2</v>
      </c>
      <c r="R29" s="104"/>
    </row>
    <row r="30" spans="1:18" x14ac:dyDescent="0.25">
      <c r="A30" s="41"/>
      <c r="B30" s="12" t="str">
        <f>IF(D23="Bangalore","Domicile in Karnataka",IF(D23="Chennai","Domicile in Tamil Nadu","Domicile - No of Years"))&amp;TEXT("*","[Red]#,##0_);[Red](#,##0);[Red]@")</f>
        <v>Domicile - No of Years*</v>
      </c>
      <c r="C30" s="51" t="s">
        <v>1</v>
      </c>
      <c r="D30" s="765"/>
      <c r="E30" s="766"/>
      <c r="F30" s="767"/>
      <c r="G30" s="29"/>
      <c r="H30" s="29"/>
      <c r="I30" s="45"/>
      <c r="O30" s="103" t="str">
        <f t="shared" si="0"/>
        <v>Domicile - No of Years*</v>
      </c>
      <c r="P30" s="105" t="str">
        <f>IF(OR(AND(OR(D23="Bangalore",D23="Chennai"),D30=""),AND(D23="",D30="")),"Check","Validated")</f>
        <v>Check</v>
      </c>
      <c r="Q30" s="105" t="s">
        <v>2</v>
      </c>
      <c r="R30" s="104"/>
    </row>
    <row r="31" spans="1:18" x14ac:dyDescent="0.25">
      <c r="A31" s="41"/>
      <c r="B31" s="12" t="s">
        <v>140</v>
      </c>
      <c r="C31" s="51" t="s">
        <v>1</v>
      </c>
      <c r="D31" s="758"/>
      <c r="E31" s="759"/>
      <c r="F31" s="759"/>
      <c r="G31" s="29"/>
      <c r="H31" s="29"/>
      <c r="I31" s="45"/>
      <c r="O31" s="103" t="str">
        <f t="shared" si="0"/>
        <v>Religion*</v>
      </c>
      <c r="P31" s="105" t="str">
        <f>IF(D31="","Check","Validated")</f>
        <v>Check</v>
      </c>
      <c r="Q31" s="105" t="s">
        <v>2</v>
      </c>
      <c r="R31" s="104"/>
    </row>
    <row r="32" spans="1:18" x14ac:dyDescent="0.25">
      <c r="A32" s="41"/>
      <c r="B32" s="12" t="s">
        <v>141</v>
      </c>
      <c r="C32" s="51" t="s">
        <v>1</v>
      </c>
      <c r="D32" s="758"/>
      <c r="E32" s="759"/>
      <c r="F32" s="759"/>
      <c r="G32" s="29"/>
      <c r="H32" s="29"/>
      <c r="I32" s="45"/>
      <c r="O32" s="103" t="str">
        <f t="shared" si="0"/>
        <v>Caste*</v>
      </c>
      <c r="P32" s="105" t="str">
        <f>IF(D32="","Check","Validated")</f>
        <v>Check</v>
      </c>
      <c r="Q32" s="105" t="s">
        <v>2</v>
      </c>
      <c r="R32" s="104"/>
    </row>
    <row r="33" spans="1:18" x14ac:dyDescent="0.25">
      <c r="A33" s="41"/>
      <c r="B33" s="12" t="s">
        <v>142</v>
      </c>
      <c r="C33" s="97" t="s">
        <v>1</v>
      </c>
      <c r="D33" s="765"/>
      <c r="E33" s="766"/>
      <c r="F33" s="767"/>
      <c r="G33" s="29"/>
      <c r="H33" s="29"/>
      <c r="I33" s="45"/>
      <c r="O33" s="103" t="str">
        <f t="shared" si="0"/>
        <v>Are you physically disabled?*</v>
      </c>
      <c r="P33" s="105" t="str">
        <f>IF(D33="","Check","Validated")</f>
        <v>Check</v>
      </c>
      <c r="Q33" s="105" t="s">
        <v>2</v>
      </c>
      <c r="R33" s="104"/>
    </row>
    <row r="34" spans="1:18" hidden="1" x14ac:dyDescent="0.25">
      <c r="A34" s="41"/>
      <c r="B34" s="99" t="s">
        <v>171</v>
      </c>
      <c r="C34" s="97" t="s">
        <v>1</v>
      </c>
      <c r="D34" s="765"/>
      <c r="E34" s="766"/>
      <c r="F34" s="767"/>
      <c r="G34" s="29"/>
      <c r="H34" s="29"/>
      <c r="I34" s="45"/>
      <c r="O34" s="103" t="str">
        <f t="shared" si="0"/>
        <v>If Yes, Please Specify*</v>
      </c>
      <c r="P34" s="105" t="str">
        <f>IF(OR(AND(D33="Yes",D34=""),AND(D33="",D34="")),"Check","Validated")</f>
        <v>Check</v>
      </c>
      <c r="Q34" s="105" t="s">
        <v>2</v>
      </c>
      <c r="R34" s="104"/>
    </row>
    <row r="35" spans="1:18" x14ac:dyDescent="0.25">
      <c r="A35" s="41"/>
      <c r="B35" s="29"/>
      <c r="C35" s="49"/>
      <c r="D35" s="29"/>
      <c r="E35" s="29"/>
      <c r="F35" s="29"/>
      <c r="G35" s="29"/>
      <c r="H35" s="29"/>
      <c r="I35" s="45"/>
      <c r="O35" s="103"/>
      <c r="R35" s="104"/>
    </row>
    <row r="36" spans="1:18" hidden="1" x14ac:dyDescent="0.25">
      <c r="A36" s="41"/>
      <c r="B36" s="38" t="s">
        <v>10</v>
      </c>
      <c r="C36" s="53"/>
      <c r="D36" s="54"/>
      <c r="E36" s="6"/>
      <c r="F36" s="6"/>
      <c r="G36" s="29"/>
      <c r="H36" s="29"/>
      <c r="I36" s="45"/>
      <c r="O36" s="103"/>
      <c r="R36" s="104"/>
    </row>
    <row r="37" spans="1:18" hidden="1" x14ac:dyDescent="0.25">
      <c r="A37" s="41"/>
      <c r="B37" s="12" t="s">
        <v>143</v>
      </c>
      <c r="C37" s="51" t="s">
        <v>1</v>
      </c>
      <c r="D37" s="768">
        <v>0</v>
      </c>
      <c r="E37" s="769"/>
      <c r="F37" s="770"/>
      <c r="G37" s="29"/>
      <c r="H37" s="29"/>
      <c r="I37" s="45"/>
      <c r="O37" s="103" t="s">
        <v>178</v>
      </c>
      <c r="P37" s="105" t="str">
        <f>IF(OR(AND(D26="Married",D37&lt;&gt;""),AND(D26="Widow",D37&lt;&gt;""),AND(D26="Widower",D37&lt;&gt;""),AND(D26="Widow",D37&lt;&gt;""),AND(D26="Divorcee",D37&lt;&gt;""),AND(D26="Unmarried",D37=0)),"Validated","Check")</f>
        <v>Check</v>
      </c>
      <c r="Q37" s="105" t="s">
        <v>2</v>
      </c>
      <c r="R37" s="104"/>
    </row>
    <row r="38" spans="1:18" hidden="1" x14ac:dyDescent="0.25">
      <c r="A38" s="41"/>
      <c r="B38" s="12" t="s">
        <v>702</v>
      </c>
      <c r="C38" s="51" t="s">
        <v>1</v>
      </c>
      <c r="D38" s="768">
        <v>0</v>
      </c>
      <c r="E38" s="769"/>
      <c r="F38" s="770"/>
      <c r="G38" s="29"/>
      <c r="H38" s="29"/>
      <c r="I38" s="45"/>
      <c r="O38" s="103" t="s">
        <v>703</v>
      </c>
      <c r="P38" s="105" t="str">
        <f>IF(OR(AND(D26="Married",D38&lt;&gt;""),AND(D26="Widow",D38&lt;&gt;""),AND(D26="Widower",D38&lt;&gt;""),AND(D26="Widow",D38&lt;&gt;""),AND(D26="Divorcee",D38&lt;&gt;""),AND(D26="Unmarried",D38=0)),"Validated","Check")</f>
        <v>Check</v>
      </c>
      <c r="Q38" s="105" t="s">
        <v>2</v>
      </c>
      <c r="R38" s="104"/>
    </row>
    <row r="39" spans="1:18" hidden="1" x14ac:dyDescent="0.25">
      <c r="A39" s="41"/>
      <c r="B39" s="29"/>
      <c r="C39" s="49"/>
      <c r="D39" s="29"/>
      <c r="E39" s="29"/>
      <c r="F39" s="29"/>
      <c r="G39" s="29"/>
      <c r="H39" s="29"/>
      <c r="I39" s="45"/>
      <c r="O39" s="103" t="s">
        <v>12</v>
      </c>
      <c r="P39" s="105" t="str">
        <f>IF((D43&amp;D44&amp;D45)="","Check","Validated")</f>
        <v>Check</v>
      </c>
      <c r="Q39" s="105" t="s">
        <v>2</v>
      </c>
      <c r="R39" s="104"/>
    </row>
    <row r="40" spans="1:18" ht="15" customHeight="1" x14ac:dyDescent="0.25">
      <c r="A40" s="41"/>
      <c r="B40" s="40" t="s">
        <v>11</v>
      </c>
      <c r="C40" s="68"/>
      <c r="D40" s="607" t="s">
        <v>257</v>
      </c>
      <c r="E40" s="608"/>
      <c r="F40" s="609"/>
      <c r="G40" s="6"/>
      <c r="H40" s="782" t="s">
        <v>259</v>
      </c>
      <c r="I40" s="45"/>
      <c r="O40" s="103" t="s">
        <v>179</v>
      </c>
      <c r="P40" s="105" t="str">
        <f>IF(D46="","Check","Validated")</f>
        <v>Check</v>
      </c>
      <c r="Q40" s="105" t="s">
        <v>2</v>
      </c>
      <c r="R40" s="104"/>
    </row>
    <row r="41" spans="1:18" ht="6" customHeight="1" x14ac:dyDescent="0.25">
      <c r="A41" s="41"/>
      <c r="B41" s="29"/>
      <c r="C41" s="49"/>
      <c r="D41" s="606"/>
      <c r="E41" s="610"/>
      <c r="F41" s="611"/>
      <c r="G41" s="29"/>
      <c r="H41" s="783"/>
      <c r="I41" s="45"/>
      <c r="O41" s="103"/>
      <c r="R41" s="104"/>
    </row>
    <row r="42" spans="1:18" x14ac:dyDescent="0.25">
      <c r="A42" s="41"/>
      <c r="B42" s="38" t="s">
        <v>12</v>
      </c>
      <c r="C42" s="109"/>
      <c r="D42" s="605"/>
      <c r="E42" s="6"/>
      <c r="F42" s="38" t="s">
        <v>13</v>
      </c>
      <c r="G42" s="109"/>
      <c r="H42" s="784"/>
      <c r="I42" s="45"/>
      <c r="O42" s="103" t="s">
        <v>180</v>
      </c>
      <c r="P42" s="105" t="str">
        <f>IF(D47="","Check","Validated")</f>
        <v>Check</v>
      </c>
      <c r="Q42" s="105" t="s">
        <v>2</v>
      </c>
      <c r="R42" s="104"/>
    </row>
    <row r="43" spans="1:18" x14ac:dyDescent="0.25">
      <c r="A43" s="41"/>
      <c r="B43" s="12" t="s">
        <v>144</v>
      </c>
      <c r="C43" s="51" t="s">
        <v>1</v>
      </c>
      <c r="D43" s="15"/>
      <c r="E43" s="6"/>
      <c r="F43" s="12" t="s">
        <v>150</v>
      </c>
      <c r="G43" s="51" t="s">
        <v>1</v>
      </c>
      <c r="H43" s="724"/>
      <c r="I43" s="45"/>
      <c r="O43" s="103" t="s">
        <v>181</v>
      </c>
      <c r="P43" s="105" t="str">
        <f>IF(AND(D48="",TOE_PI="Expat"),"Validated",IF(D48="","Check","Validated"))</f>
        <v>Check</v>
      </c>
      <c r="Q43" s="105" t="s">
        <v>2</v>
      </c>
      <c r="R43" s="104"/>
    </row>
    <row r="44" spans="1:18" x14ac:dyDescent="0.25">
      <c r="A44" s="41"/>
      <c r="B44" s="50" t="s">
        <v>14</v>
      </c>
      <c r="C44" s="51" t="s">
        <v>1</v>
      </c>
      <c r="D44" s="15"/>
      <c r="E44" s="6"/>
      <c r="F44" s="50" t="s">
        <v>15</v>
      </c>
      <c r="G44" s="51" t="s">
        <v>1</v>
      </c>
      <c r="H44" s="724"/>
      <c r="I44" s="45"/>
      <c r="O44" s="103"/>
      <c r="R44" s="104"/>
    </row>
    <row r="45" spans="1:18" x14ac:dyDescent="0.25">
      <c r="A45" s="41"/>
      <c r="B45" s="50" t="s">
        <v>14</v>
      </c>
      <c r="C45" s="51" t="s">
        <v>1</v>
      </c>
      <c r="D45" s="15"/>
      <c r="E45" s="6"/>
      <c r="F45" s="50" t="s">
        <v>15</v>
      </c>
      <c r="G45" s="51" t="s">
        <v>1</v>
      </c>
      <c r="H45" s="724"/>
      <c r="I45" s="45"/>
      <c r="O45" s="103" t="s">
        <v>182</v>
      </c>
      <c r="P45" s="105" t="str">
        <f>IF(AND(D50="",TOE_PI="Expat"),"Validated",IF(D50="","Check","Validated"))</f>
        <v>Check</v>
      </c>
      <c r="Q45" s="105" t="s">
        <v>2</v>
      </c>
      <c r="R45" s="104"/>
    </row>
    <row r="46" spans="1:18" x14ac:dyDescent="0.25">
      <c r="A46" s="41"/>
      <c r="B46" s="12" t="s">
        <v>145</v>
      </c>
      <c r="C46" s="51" t="s">
        <v>1</v>
      </c>
      <c r="D46" s="15"/>
      <c r="E46" s="6"/>
      <c r="F46" s="12" t="s">
        <v>145</v>
      </c>
      <c r="G46" s="51" t="s">
        <v>1</v>
      </c>
      <c r="H46" s="724"/>
      <c r="I46" s="45"/>
      <c r="O46" s="103" t="s">
        <v>183</v>
      </c>
      <c r="P46" s="105" t="str">
        <f>IF(D51="","Check","Validated")</f>
        <v>Check</v>
      </c>
      <c r="Q46" s="105" t="s">
        <v>2</v>
      </c>
      <c r="R46" s="104"/>
    </row>
    <row r="47" spans="1:18" x14ac:dyDescent="0.25">
      <c r="A47" s="41"/>
      <c r="B47" s="12" t="s">
        <v>146</v>
      </c>
      <c r="C47" s="51" t="s">
        <v>1</v>
      </c>
      <c r="D47" s="15"/>
      <c r="E47" s="6"/>
      <c r="F47" s="12" t="s">
        <v>146</v>
      </c>
      <c r="G47" s="51" t="s">
        <v>1</v>
      </c>
      <c r="H47" s="724"/>
      <c r="I47" s="45"/>
      <c r="O47" s="103" t="s">
        <v>13</v>
      </c>
      <c r="P47" s="105" t="str">
        <f>IF((H43&amp;H44&amp;H45)="","Check","Validated")</f>
        <v>Check</v>
      </c>
      <c r="Q47" s="105" t="s">
        <v>2</v>
      </c>
      <c r="R47" s="104"/>
    </row>
    <row r="48" spans="1:18" x14ac:dyDescent="0.25">
      <c r="A48" s="41"/>
      <c r="B48" s="12" t="s">
        <v>147</v>
      </c>
      <c r="C48" s="51" t="s">
        <v>1</v>
      </c>
      <c r="D48" s="15"/>
      <c r="E48" s="6"/>
      <c r="F48" s="12" t="s">
        <v>147</v>
      </c>
      <c r="G48" s="51" t="s">
        <v>1</v>
      </c>
      <c r="H48" s="724"/>
      <c r="I48" s="45"/>
      <c r="O48" s="103" t="s">
        <v>184</v>
      </c>
      <c r="P48" s="105" t="str">
        <f t="shared" ref="P48:P53" si="1">IF(H46="","Check","Validated")</f>
        <v>Check</v>
      </c>
      <c r="Q48" s="105" t="s">
        <v>2</v>
      </c>
      <c r="R48" s="104"/>
    </row>
    <row r="49" spans="1:18" x14ac:dyDescent="0.25">
      <c r="A49" s="41"/>
      <c r="B49" s="12" t="s">
        <v>254</v>
      </c>
      <c r="C49" s="51" t="s">
        <v>1</v>
      </c>
      <c r="D49" s="15"/>
      <c r="E49" s="6"/>
      <c r="F49" s="12" t="s">
        <v>254</v>
      </c>
      <c r="G49" s="51" t="s">
        <v>1</v>
      </c>
      <c r="H49" s="724"/>
      <c r="I49" s="45"/>
      <c r="O49" s="103" t="s">
        <v>185</v>
      </c>
      <c r="P49" s="105" t="str">
        <f t="shared" si="1"/>
        <v>Check</v>
      </c>
      <c r="Q49" s="105" t="s">
        <v>2</v>
      </c>
      <c r="R49" s="104"/>
    </row>
    <row r="50" spans="1:18" x14ac:dyDescent="0.25">
      <c r="A50" s="41"/>
      <c r="B50" s="12" t="s">
        <v>148</v>
      </c>
      <c r="C50" s="51" t="s">
        <v>1</v>
      </c>
      <c r="D50" s="15"/>
      <c r="E50" s="6"/>
      <c r="F50" s="12" t="s">
        <v>148</v>
      </c>
      <c r="G50" s="51" t="s">
        <v>1</v>
      </c>
      <c r="H50" s="724"/>
      <c r="I50" s="45"/>
      <c r="O50" s="103" t="s">
        <v>186</v>
      </c>
      <c r="P50" s="105" t="str">
        <f>IF(AND(H48="",TOE_PI="Expat"),"Validated",IF(H48="","Check","Validated"))</f>
        <v>Check</v>
      </c>
      <c r="Q50" s="105" t="s">
        <v>2</v>
      </c>
      <c r="R50" s="104"/>
    </row>
    <row r="51" spans="1:18" x14ac:dyDescent="0.25">
      <c r="A51" s="41"/>
      <c r="B51" s="12" t="s">
        <v>149</v>
      </c>
      <c r="C51" s="51" t="s">
        <v>1</v>
      </c>
      <c r="D51" s="110"/>
      <c r="E51" s="6"/>
      <c r="F51" s="12" t="s">
        <v>149</v>
      </c>
      <c r="G51" s="51" t="s">
        <v>1</v>
      </c>
      <c r="H51" s="725"/>
      <c r="I51" s="45"/>
      <c r="O51" s="103"/>
      <c r="R51" s="104"/>
    </row>
    <row r="52" spans="1:18" x14ac:dyDescent="0.25">
      <c r="A52" s="41"/>
      <c r="B52" s="29"/>
      <c r="C52" s="49"/>
      <c r="D52" s="29"/>
      <c r="E52" s="29"/>
      <c r="F52" s="29"/>
      <c r="G52" s="29"/>
      <c r="H52" s="29"/>
      <c r="I52" s="45"/>
      <c r="O52" s="103" t="s">
        <v>187</v>
      </c>
      <c r="P52" s="105" t="str">
        <f>IF(AND(H50="",TOE_PI="Expat"),"Validated",IF(H50="","Check","Validated"))</f>
        <v>Check</v>
      </c>
      <c r="Q52" s="105" t="s">
        <v>2</v>
      </c>
      <c r="R52" s="104"/>
    </row>
    <row r="53" spans="1:18" x14ac:dyDescent="0.25">
      <c r="A53" s="41"/>
      <c r="B53" s="38" t="s">
        <v>20</v>
      </c>
      <c r="C53" s="56"/>
      <c r="D53" s="46"/>
      <c r="E53" s="6"/>
      <c r="F53" s="6"/>
      <c r="G53" s="6"/>
      <c r="H53" s="29"/>
      <c r="I53" s="45"/>
      <c r="O53" s="103" t="s">
        <v>188</v>
      </c>
      <c r="P53" s="105" t="str">
        <f t="shared" si="1"/>
        <v>Check</v>
      </c>
      <c r="Q53" s="105" t="s">
        <v>2</v>
      </c>
      <c r="R53" s="104"/>
    </row>
    <row r="54" spans="1:18" x14ac:dyDescent="0.25">
      <c r="A54" s="41"/>
      <c r="B54" s="12" t="s">
        <v>151</v>
      </c>
      <c r="C54" s="51" t="s">
        <v>1</v>
      </c>
      <c r="D54" s="758"/>
      <c r="E54" s="759"/>
      <c r="F54" s="759"/>
      <c r="G54" s="6"/>
      <c r="H54" s="29"/>
      <c r="I54" s="45"/>
      <c r="O54" s="103" t="s">
        <v>189</v>
      </c>
      <c r="P54" s="105" t="str">
        <f>IF(TOE_PI="Contractor","Validated",IF(D54="","Check","Validated"))</f>
        <v>Check</v>
      </c>
      <c r="Q54" s="105" t="s">
        <v>2</v>
      </c>
      <c r="R54" s="104"/>
    </row>
    <row r="55" spans="1:18" x14ac:dyDescent="0.25">
      <c r="A55" s="41"/>
      <c r="B55" s="12" t="s">
        <v>152</v>
      </c>
      <c r="C55" s="51" t="s">
        <v>1</v>
      </c>
      <c r="D55" s="781"/>
      <c r="E55" s="759"/>
      <c r="F55" s="759"/>
      <c r="G55" s="6"/>
      <c r="H55" s="29"/>
      <c r="I55" s="45"/>
      <c r="O55" s="103" t="s">
        <v>190</v>
      </c>
      <c r="P55" s="105" t="str">
        <f>IF(TOE_PI="Contractor","Validated",IF(D55="","Check","Validated"))</f>
        <v>Check</v>
      </c>
      <c r="Q55" s="105" t="s">
        <v>2</v>
      </c>
      <c r="R55" s="104"/>
    </row>
    <row r="56" spans="1:18" x14ac:dyDescent="0.25">
      <c r="A56" s="41"/>
      <c r="B56" s="12" t="s">
        <v>153</v>
      </c>
      <c r="C56" s="51" t="s">
        <v>1</v>
      </c>
      <c r="D56" s="781"/>
      <c r="E56" s="759"/>
      <c r="F56" s="759"/>
      <c r="G56" s="6"/>
      <c r="H56" s="29"/>
      <c r="I56" s="45"/>
      <c r="O56" s="103" t="s">
        <v>191</v>
      </c>
      <c r="P56" s="105" t="str">
        <f>IF(TOE_PI="Contractor","Validated",IF(D56="","Check","Validated"))</f>
        <v>Check</v>
      </c>
      <c r="Q56" s="105" t="s">
        <v>2</v>
      </c>
      <c r="R56" s="104"/>
    </row>
    <row r="57" spans="1:18" x14ac:dyDescent="0.25">
      <c r="A57" s="41"/>
      <c r="B57" s="12" t="s">
        <v>154</v>
      </c>
      <c r="C57" s="51" t="s">
        <v>1</v>
      </c>
      <c r="D57" s="781"/>
      <c r="E57" s="759"/>
      <c r="F57" s="759"/>
      <c r="G57" s="29"/>
      <c r="H57" s="29"/>
      <c r="I57" s="45"/>
      <c r="O57" s="103" t="s">
        <v>192</v>
      </c>
      <c r="P57" s="105" t="str">
        <f>IF(TOE_PI="Contractor","Validated",IF(D57="","Check","Validated"))</f>
        <v>Check</v>
      </c>
      <c r="Q57" s="105" t="s">
        <v>2</v>
      </c>
      <c r="R57" s="104"/>
    </row>
    <row r="58" spans="1:18" x14ac:dyDescent="0.25">
      <c r="A58" s="41"/>
      <c r="B58" s="12" t="s">
        <v>155</v>
      </c>
      <c r="C58" s="51" t="s">
        <v>1</v>
      </c>
      <c r="D58" s="758"/>
      <c r="E58" s="759"/>
      <c r="F58" s="759"/>
      <c r="G58" s="29"/>
      <c r="H58" s="29"/>
      <c r="I58" s="45"/>
      <c r="O58" s="103" t="s">
        <v>193</v>
      </c>
      <c r="P58" s="105" t="str">
        <f>IF(TOE_PI="Contractor","Validated",IF(D58="","Check","Validated"))</f>
        <v>Check</v>
      </c>
      <c r="Q58" s="105" t="s">
        <v>2</v>
      </c>
      <c r="R58" s="104"/>
    </row>
    <row r="59" spans="1:18" x14ac:dyDescent="0.25">
      <c r="A59" s="41"/>
      <c r="B59" s="29"/>
      <c r="C59" s="49"/>
      <c r="D59" s="29"/>
      <c r="E59" s="29"/>
      <c r="F59" s="29"/>
      <c r="G59" s="29"/>
      <c r="H59" s="29"/>
      <c r="I59" s="45"/>
      <c r="O59" s="103" t="s">
        <v>194</v>
      </c>
      <c r="R59" s="104"/>
    </row>
    <row r="60" spans="1:18" x14ac:dyDescent="0.25">
      <c r="A60" s="41"/>
      <c r="B60" s="38" t="str">
        <f>IF(TOE_PI="Employee","Bank &amp; PAN Details","Bank Details")</f>
        <v>Bank &amp; PAN Details</v>
      </c>
      <c r="C60" s="56"/>
      <c r="D60" s="46"/>
      <c r="E60" s="6"/>
      <c r="F60" s="6"/>
      <c r="G60" s="6"/>
      <c r="H60" s="29"/>
      <c r="I60" s="45"/>
      <c r="O60" s="103" t="s">
        <v>195</v>
      </c>
      <c r="R60" s="104"/>
    </row>
    <row r="61" spans="1:18" x14ac:dyDescent="0.25">
      <c r="A61" s="41"/>
      <c r="B61" s="12" t="s">
        <v>799</v>
      </c>
      <c r="C61" s="51" t="s">
        <v>1</v>
      </c>
      <c r="D61" s="763"/>
      <c r="E61" s="771"/>
      <c r="F61" s="771"/>
      <c r="G61" s="29"/>
      <c r="H61" s="29"/>
      <c r="I61" s="45"/>
      <c r="O61" s="103" t="s">
        <v>196</v>
      </c>
      <c r="R61" s="104"/>
    </row>
    <row r="62" spans="1:18" x14ac:dyDescent="0.25">
      <c r="A62" s="41"/>
      <c r="B62" s="12" t="s">
        <v>781</v>
      </c>
      <c r="C62" s="51" t="s">
        <v>1</v>
      </c>
      <c r="D62" s="758"/>
      <c r="E62" s="759"/>
      <c r="F62" s="759"/>
      <c r="G62" s="29"/>
      <c r="H62" s="29"/>
      <c r="I62" s="45"/>
      <c r="O62" s="103" t="s">
        <v>197</v>
      </c>
      <c r="P62" s="105" t="str">
        <f>IF(TOE_PI&lt;&gt;"Employee","Validated",IF(D64="","Check","Validated"))</f>
        <v>Check</v>
      </c>
      <c r="Q62" s="105" t="s">
        <v>2</v>
      </c>
      <c r="R62" s="104"/>
    </row>
    <row r="63" spans="1:18" x14ac:dyDescent="0.25">
      <c r="A63" s="41"/>
      <c r="B63" s="12" t="s">
        <v>782</v>
      </c>
      <c r="C63" s="51" t="s">
        <v>1</v>
      </c>
      <c r="D63" s="758"/>
      <c r="E63" s="759"/>
      <c r="F63" s="759"/>
      <c r="G63" s="29"/>
      <c r="H63" s="29"/>
      <c r="I63" s="45"/>
      <c r="O63" s="103" t="s">
        <v>701</v>
      </c>
      <c r="P63" s="105" t="str">
        <f>IF(TOE_PI="Contractor","Validated",IF(D56&lt;D57,"Validated","Check"))</f>
        <v>Check</v>
      </c>
      <c r="Q63" s="105" t="s">
        <v>2</v>
      </c>
      <c r="R63" s="104"/>
    </row>
    <row r="64" spans="1:18" x14ac:dyDescent="0.25">
      <c r="A64" s="41"/>
      <c r="B64" s="12" t="s">
        <v>156</v>
      </c>
      <c r="C64" s="51" t="s">
        <v>1</v>
      </c>
      <c r="D64" s="758"/>
      <c r="E64" s="759"/>
      <c r="F64" s="759"/>
      <c r="G64" s="29"/>
      <c r="H64" s="29"/>
      <c r="I64" s="45"/>
      <c r="O64" s="103" t="s">
        <v>198</v>
      </c>
      <c r="P64" s="105" t="str">
        <f>IF(D69="","Check","Validated")</f>
        <v>Check</v>
      </c>
      <c r="Q64" s="105" t="s">
        <v>2</v>
      </c>
      <c r="R64" s="104"/>
    </row>
    <row r="65" spans="1:19" x14ac:dyDescent="0.25">
      <c r="A65" s="41"/>
      <c r="B65" s="29"/>
      <c r="C65" s="49"/>
      <c r="D65" s="29"/>
      <c r="E65" s="29"/>
      <c r="F65" s="29"/>
      <c r="G65" s="29"/>
      <c r="H65" s="29"/>
      <c r="I65" s="45"/>
      <c r="O65" s="103" t="s">
        <v>199</v>
      </c>
      <c r="P65" s="105" t="str">
        <f>IF((D70&amp;D71&amp;D72)="","Check","Validated")</f>
        <v>Check</v>
      </c>
      <c r="Q65" s="105" t="s">
        <v>2</v>
      </c>
      <c r="R65" s="104"/>
    </row>
    <row r="66" spans="1:19" x14ac:dyDescent="0.25">
      <c r="A66" s="41"/>
      <c r="B66" s="40" t="s">
        <v>44</v>
      </c>
      <c r="C66" s="55"/>
      <c r="D66" s="55"/>
      <c r="E66" s="29"/>
      <c r="F66" s="29"/>
      <c r="G66" s="29"/>
      <c r="H66" s="29"/>
      <c r="I66" s="45"/>
      <c r="O66" s="103" t="s">
        <v>200</v>
      </c>
      <c r="P66" s="105" t="str">
        <f>IF(D73="","Check","Validated")</f>
        <v>Check</v>
      </c>
      <c r="Q66" s="105" t="s">
        <v>2</v>
      </c>
      <c r="R66" s="104"/>
    </row>
    <row r="67" spans="1:19" x14ac:dyDescent="0.25">
      <c r="A67" s="41"/>
      <c r="B67" s="29"/>
      <c r="C67" s="49"/>
      <c r="D67" s="29"/>
      <c r="E67" s="29"/>
      <c r="F67" s="29"/>
      <c r="G67" s="29"/>
      <c r="H67" s="29"/>
      <c r="I67" s="45"/>
      <c r="O67" s="103" t="s">
        <v>201</v>
      </c>
      <c r="P67" s="105" t="str">
        <f>IF(D74="","Check","Validated")</f>
        <v>Check</v>
      </c>
      <c r="Q67" s="105" t="s">
        <v>2</v>
      </c>
      <c r="R67" s="104"/>
    </row>
    <row r="68" spans="1:19" x14ac:dyDescent="0.25">
      <c r="A68" s="41"/>
      <c r="B68" s="38" t="s">
        <v>45</v>
      </c>
      <c r="C68" s="56"/>
      <c r="D68" s="46"/>
      <c r="E68" s="29"/>
      <c r="F68" s="38" t="s">
        <v>46</v>
      </c>
      <c r="G68" s="56"/>
      <c r="H68" s="46"/>
      <c r="I68" s="45"/>
      <c r="O68" s="103" t="s">
        <v>202</v>
      </c>
      <c r="P68" s="105" t="str">
        <f>IF(AND(D75="",TOE_PI="Expat"),"Validated",IF(D75="","Check","Validated"))</f>
        <v>Check</v>
      </c>
      <c r="Q68" s="105" t="s">
        <v>2</v>
      </c>
      <c r="R68" s="104"/>
    </row>
    <row r="69" spans="1:19" x14ac:dyDescent="0.25">
      <c r="A69" s="41"/>
      <c r="B69" s="12" t="s">
        <v>157</v>
      </c>
      <c r="C69" s="51" t="s">
        <v>1</v>
      </c>
      <c r="D69" s="15"/>
      <c r="F69" s="12" t="s">
        <v>157</v>
      </c>
      <c r="G69" s="51" t="s">
        <v>1</v>
      </c>
      <c r="H69" s="15"/>
      <c r="I69" s="45"/>
      <c r="O69" s="103"/>
      <c r="R69" s="104"/>
    </row>
    <row r="70" spans="1:19" x14ac:dyDescent="0.25">
      <c r="A70" s="41"/>
      <c r="B70" s="12" t="s">
        <v>158</v>
      </c>
      <c r="C70" s="51" t="s">
        <v>1</v>
      </c>
      <c r="D70" s="15"/>
      <c r="F70" s="12" t="s">
        <v>158</v>
      </c>
      <c r="G70" s="51" t="s">
        <v>1</v>
      </c>
      <c r="H70" s="15"/>
      <c r="I70" s="45"/>
      <c r="O70" s="103" t="s">
        <v>203</v>
      </c>
      <c r="P70" s="105" t="str">
        <f>IF(AND(D77="",TOE_PI="Expat"),"Validated",IF(D77="","Check","Validated"))</f>
        <v>Check</v>
      </c>
      <c r="Q70" s="105" t="s">
        <v>2</v>
      </c>
      <c r="R70" s="104"/>
    </row>
    <row r="71" spans="1:19" x14ac:dyDescent="0.25">
      <c r="A71" s="41"/>
      <c r="B71" s="12" t="s">
        <v>19</v>
      </c>
      <c r="C71" s="51" t="s">
        <v>1</v>
      </c>
      <c r="D71" s="15"/>
      <c r="F71" s="12" t="s">
        <v>19</v>
      </c>
      <c r="G71" s="51" t="s">
        <v>1</v>
      </c>
      <c r="H71" s="15"/>
      <c r="I71" s="45"/>
      <c r="O71" s="103" t="s">
        <v>250</v>
      </c>
      <c r="P71" s="105" t="str">
        <f>IF(OR(H69="",D69=H69),"Check","Validated")</f>
        <v>Check</v>
      </c>
      <c r="Q71" s="105" t="s">
        <v>2</v>
      </c>
      <c r="R71" s="104"/>
    </row>
    <row r="72" spans="1:19" x14ac:dyDescent="0.25">
      <c r="A72" s="41"/>
      <c r="B72" s="12" t="s">
        <v>19</v>
      </c>
      <c r="C72" s="51" t="s">
        <v>1</v>
      </c>
      <c r="D72" s="15"/>
      <c r="F72" s="12" t="s">
        <v>19</v>
      </c>
      <c r="G72" s="51" t="s">
        <v>1</v>
      </c>
      <c r="H72" s="15"/>
      <c r="I72" s="45"/>
      <c r="O72" s="103" t="s">
        <v>204</v>
      </c>
      <c r="P72" s="105" t="str">
        <f>IF((H70&amp;H71&amp;H72)="","Check","Validated")</f>
        <v>Check</v>
      </c>
      <c r="Q72" s="105" t="s">
        <v>2</v>
      </c>
      <c r="R72" s="104"/>
    </row>
    <row r="73" spans="1:19" x14ac:dyDescent="0.25">
      <c r="A73" s="41"/>
      <c r="B73" s="12" t="s">
        <v>145</v>
      </c>
      <c r="C73" s="51" t="s">
        <v>1</v>
      </c>
      <c r="D73" s="15"/>
      <c r="F73" s="12" t="s">
        <v>145</v>
      </c>
      <c r="G73" s="51" t="s">
        <v>1</v>
      </c>
      <c r="H73" s="15"/>
      <c r="I73" s="45"/>
      <c r="O73" s="103" t="s">
        <v>205</v>
      </c>
      <c r="P73" s="105" t="str">
        <f>IF(H73="","Check","Validated")</f>
        <v>Check</v>
      </c>
      <c r="Q73" s="105" t="s">
        <v>2</v>
      </c>
      <c r="R73" s="104"/>
    </row>
    <row r="74" spans="1:19" x14ac:dyDescent="0.25">
      <c r="A74" s="41"/>
      <c r="B74" s="12" t="s">
        <v>146</v>
      </c>
      <c r="C74" s="51" t="s">
        <v>1</v>
      </c>
      <c r="D74" s="15"/>
      <c r="F74" s="12" t="s">
        <v>146</v>
      </c>
      <c r="G74" s="51" t="s">
        <v>1</v>
      </c>
      <c r="H74" s="15"/>
      <c r="I74" s="45"/>
      <c r="O74" s="103" t="s">
        <v>206</v>
      </c>
      <c r="P74" s="105" t="str">
        <f>IF(H74="","Check","Validated")</f>
        <v>Check</v>
      </c>
      <c r="Q74" s="105" t="s">
        <v>2</v>
      </c>
      <c r="R74" s="104"/>
    </row>
    <row r="75" spans="1:19" x14ac:dyDescent="0.25">
      <c r="A75" s="41"/>
      <c r="B75" s="12" t="s">
        <v>147</v>
      </c>
      <c r="C75" s="51" t="s">
        <v>1</v>
      </c>
      <c r="D75" s="15"/>
      <c r="F75" s="12" t="s">
        <v>147</v>
      </c>
      <c r="G75" s="51" t="s">
        <v>1</v>
      </c>
      <c r="H75" s="15"/>
      <c r="I75" s="45"/>
      <c r="O75" s="103" t="s">
        <v>207</v>
      </c>
      <c r="P75" s="105" t="str">
        <f>IF(AND(H75="",TOE_PI="Expat"),"Validated",IF(H75="","Check","Validated"))</f>
        <v>Check</v>
      </c>
      <c r="Q75" s="105" t="s">
        <v>2</v>
      </c>
      <c r="R75" s="104"/>
    </row>
    <row r="76" spans="1:19" x14ac:dyDescent="0.25">
      <c r="A76" s="41"/>
      <c r="B76" s="12" t="s">
        <v>254</v>
      </c>
      <c r="C76" s="51" t="s">
        <v>1</v>
      </c>
      <c r="D76" s="15"/>
      <c r="F76" s="12" t="s">
        <v>254</v>
      </c>
      <c r="G76" s="51" t="s">
        <v>1</v>
      </c>
      <c r="H76" s="15"/>
      <c r="I76" s="45"/>
      <c r="O76" s="103"/>
      <c r="R76" s="104"/>
    </row>
    <row r="77" spans="1:19" x14ac:dyDescent="0.25">
      <c r="A77" s="41"/>
      <c r="B77" s="12" t="s">
        <v>148</v>
      </c>
      <c r="C77" s="51" t="s">
        <v>1</v>
      </c>
      <c r="D77" s="15"/>
      <c r="F77" s="12" t="s">
        <v>148</v>
      </c>
      <c r="G77" s="51" t="s">
        <v>1</v>
      </c>
      <c r="H77" s="110"/>
      <c r="I77" s="45"/>
      <c r="O77" s="103" t="s">
        <v>251</v>
      </c>
      <c r="P77" s="105" t="str">
        <f>IF(TOE_PI="Expat","Validated",IF(OR(H77="",D77=H77),"Check","Validated"))</f>
        <v>Check</v>
      </c>
      <c r="Q77" s="105" t="s">
        <v>2</v>
      </c>
      <c r="R77" s="104"/>
    </row>
    <row r="78" spans="1:19" s="5" customFormat="1" ht="6" customHeight="1" x14ac:dyDescent="0.25">
      <c r="A78" s="7"/>
      <c r="B78" s="4"/>
      <c r="C78" s="4"/>
      <c r="D78" s="11"/>
      <c r="E78" s="4"/>
      <c r="F78" s="4"/>
      <c r="G78" s="4"/>
      <c r="H78" s="11"/>
      <c r="I78" s="10"/>
      <c r="J78" s="4"/>
      <c r="K78" s="4"/>
      <c r="O78" s="103"/>
      <c r="P78" s="104"/>
      <c r="Q78" s="104"/>
      <c r="R78" s="104"/>
      <c r="S78"/>
    </row>
    <row r="79" spans="1:19" s="5" customFormat="1" ht="6" customHeight="1" thickBot="1" x14ac:dyDescent="0.3">
      <c r="A79" s="16"/>
      <c r="B79" s="17"/>
      <c r="C79" s="17"/>
      <c r="D79" s="18"/>
      <c r="E79" s="17"/>
      <c r="F79" s="17"/>
      <c r="G79" s="17"/>
      <c r="H79" s="17"/>
      <c r="I79" s="19"/>
      <c r="J79" s="4"/>
      <c r="K79" s="4"/>
      <c r="O79" s="103"/>
      <c r="P79" s="104"/>
      <c r="Q79" s="104"/>
      <c r="R79" s="104"/>
      <c r="S79"/>
    </row>
    <row r="80" spans="1:19" s="5" customFormat="1" ht="15" customHeight="1" x14ac:dyDescent="0.25">
      <c r="A80" s="59"/>
      <c r="B80" s="1"/>
      <c r="C80" s="1"/>
      <c r="D80" s="2"/>
      <c r="E80" s="1"/>
      <c r="F80" s="1"/>
      <c r="G80" s="1"/>
      <c r="H80" s="1"/>
      <c r="I80" s="60"/>
      <c r="J80" s="4"/>
      <c r="K80" s="4"/>
      <c r="O80" s="103" t="s">
        <v>211</v>
      </c>
      <c r="P80" s="105"/>
      <c r="Q80" s="104"/>
      <c r="R80" s="104"/>
      <c r="S80"/>
    </row>
    <row r="81" spans="1:19" x14ac:dyDescent="0.25">
      <c r="A81" s="41"/>
      <c r="B81" s="40" t="s">
        <v>47</v>
      </c>
      <c r="C81" s="55"/>
      <c r="D81" s="55"/>
      <c r="E81" s="26"/>
      <c r="F81" s="26"/>
      <c r="G81" s="26"/>
      <c r="H81" s="26"/>
      <c r="I81" s="45"/>
      <c r="O81" s="103" t="s">
        <v>210</v>
      </c>
      <c r="P81" s="105" t="str">
        <f>IF((B86)="","Check","Validated")</f>
        <v>Check</v>
      </c>
      <c r="Q81" s="104" t="s">
        <v>2</v>
      </c>
      <c r="R81" s="104"/>
    </row>
    <row r="82" spans="1:19" ht="15" customHeight="1" x14ac:dyDescent="0.25">
      <c r="A82" s="41"/>
      <c r="B82" s="26"/>
      <c r="C82" s="70"/>
      <c r="D82" s="26"/>
      <c r="E82" s="26"/>
      <c r="F82" s="26"/>
      <c r="G82" s="26"/>
      <c r="H82" s="26"/>
      <c r="I82" s="45"/>
      <c r="O82" s="103" t="s">
        <v>241</v>
      </c>
      <c r="P82" s="105" t="str">
        <f>IF(AND(B86&lt;&gt;"",D86=""),"Check","Validated")</f>
        <v>Validated</v>
      </c>
      <c r="Q82" s="105" t="s">
        <v>2</v>
      </c>
      <c r="R82" s="104"/>
    </row>
    <row r="83" spans="1:19" x14ac:dyDescent="0.25">
      <c r="A83" s="41"/>
      <c r="B83" s="40" t="s">
        <v>16</v>
      </c>
      <c r="C83" s="64"/>
      <c r="D83" s="64"/>
      <c r="E83" s="64"/>
      <c r="F83" s="20"/>
      <c r="G83" s="4"/>
      <c r="H83" s="26"/>
      <c r="I83" s="45"/>
      <c r="O83" s="103" t="s">
        <v>242</v>
      </c>
      <c r="P83" s="105" t="str">
        <f>IF(AND(B86&lt;&gt;"",F86=""),"Check","Validated")</f>
        <v>Validated</v>
      </c>
      <c r="Q83" s="105" t="s">
        <v>2</v>
      </c>
      <c r="R83" s="104"/>
    </row>
    <row r="84" spans="1:19" s="5" customFormat="1" ht="6" customHeight="1" x14ac:dyDescent="0.25">
      <c r="A84" s="7"/>
      <c r="B84" s="4"/>
      <c r="C84" s="4"/>
      <c r="D84" s="11"/>
      <c r="E84" s="4"/>
      <c r="F84" s="4"/>
      <c r="G84" s="4"/>
      <c r="H84" s="11"/>
      <c r="I84" s="10"/>
      <c r="J84" s="4"/>
      <c r="K84" s="4"/>
      <c r="O84" s="103" t="s">
        <v>243</v>
      </c>
      <c r="P84" s="105" t="str">
        <f>IF(AND(B86&lt;&gt;"",H86=""),"Check","Validated")</f>
        <v>Validated</v>
      </c>
      <c r="Q84" s="108" t="s">
        <v>2</v>
      </c>
      <c r="R84" s="104"/>
      <c r="S84"/>
    </row>
    <row r="85" spans="1:19" x14ac:dyDescent="0.25">
      <c r="A85" s="41"/>
      <c r="B85" s="25" t="s">
        <v>17</v>
      </c>
      <c r="C85" s="21"/>
      <c r="D85" s="25" t="s">
        <v>76</v>
      </c>
      <c r="E85" s="21"/>
      <c r="F85" s="25" t="s">
        <v>77</v>
      </c>
      <c r="G85" s="21"/>
      <c r="H85" s="57" t="s">
        <v>48</v>
      </c>
      <c r="I85" s="45"/>
      <c r="O85" s="103" t="s">
        <v>208</v>
      </c>
      <c r="P85" s="105" t="str">
        <f>IF(AND(TOE_PI="Expat",(B87)=""),"Validated",IF(B87="","Check","Validated"))</f>
        <v>Check</v>
      </c>
      <c r="Q85" s="105" t="s">
        <v>2</v>
      </c>
      <c r="R85" s="104"/>
    </row>
    <row r="86" spans="1:19" x14ac:dyDescent="0.25">
      <c r="A86" s="41"/>
      <c r="B86" s="15"/>
      <c r="C86" s="22"/>
      <c r="D86" s="15"/>
      <c r="E86" s="22"/>
      <c r="F86" s="66"/>
      <c r="G86" s="22"/>
      <c r="H86" s="67"/>
      <c r="I86" s="45"/>
      <c r="O86" s="103" t="s">
        <v>244</v>
      </c>
      <c r="P86" s="105" t="str">
        <f>IF(AND(B87&lt;&gt;"",D87=""),"Check","Validated")</f>
        <v>Validated</v>
      </c>
      <c r="Q86" s="105" t="s">
        <v>2</v>
      </c>
      <c r="R86" s="104"/>
    </row>
    <row r="87" spans="1:19" x14ac:dyDescent="0.25">
      <c r="A87" s="69"/>
      <c r="B87" s="15"/>
      <c r="C87" s="22"/>
      <c r="D87" s="15"/>
      <c r="E87" s="22"/>
      <c r="F87" s="66"/>
      <c r="G87" s="22"/>
      <c r="H87" s="67"/>
      <c r="I87" s="45"/>
      <c r="O87" s="103" t="s">
        <v>245</v>
      </c>
      <c r="P87" s="105" t="str">
        <f>IF(AND(B87&lt;&gt;"",F87=""),"Check","Validated")</f>
        <v>Validated</v>
      </c>
      <c r="Q87" s="105" t="s">
        <v>2</v>
      </c>
      <c r="R87" s="104"/>
    </row>
    <row r="88" spans="1:19" x14ac:dyDescent="0.25">
      <c r="A88" s="69"/>
      <c r="B88" s="15"/>
      <c r="C88" s="22"/>
      <c r="D88" s="15"/>
      <c r="E88" s="22"/>
      <c r="F88" s="66"/>
      <c r="G88" s="22"/>
      <c r="H88" s="67"/>
      <c r="I88" s="45"/>
      <c r="O88" s="103" t="s">
        <v>246</v>
      </c>
      <c r="P88" s="105" t="str">
        <f>IF(AND(B87&lt;&gt;"",H87=""),"Check","Validated")</f>
        <v>Validated</v>
      </c>
      <c r="Q88" s="104" t="s">
        <v>2</v>
      </c>
      <c r="R88" s="104"/>
    </row>
    <row r="89" spans="1:19" x14ac:dyDescent="0.25">
      <c r="A89" s="69"/>
      <c r="B89" s="15"/>
      <c r="C89" s="22"/>
      <c r="D89" s="15"/>
      <c r="E89" s="22"/>
      <c r="F89" s="66"/>
      <c r="G89" s="22"/>
      <c r="H89" s="67"/>
      <c r="I89" s="45"/>
      <c r="O89" s="103" t="s">
        <v>209</v>
      </c>
      <c r="P89" s="105" t="str">
        <f>IF(AND(TOE_PI="Expat",(B88)=""),"Validated",IF(B88="","Check","Validated"))</f>
        <v>Check</v>
      </c>
      <c r="Q89" s="105" t="s">
        <v>2</v>
      </c>
      <c r="R89" s="104"/>
    </row>
    <row r="90" spans="1:19" x14ac:dyDescent="0.25">
      <c r="A90" s="69"/>
      <c r="B90" s="15"/>
      <c r="C90" s="22"/>
      <c r="D90" s="15"/>
      <c r="E90" s="22"/>
      <c r="F90" s="66"/>
      <c r="G90" s="22"/>
      <c r="H90" s="67"/>
      <c r="I90" s="45"/>
      <c r="O90" s="103" t="s">
        <v>247</v>
      </c>
      <c r="P90" s="105" t="str">
        <f>IF(AND(B88&lt;&gt;"",D88=""),"Check","Validated")</f>
        <v>Validated</v>
      </c>
      <c r="Q90" s="105" t="s">
        <v>2</v>
      </c>
      <c r="R90" s="104"/>
    </row>
    <row r="91" spans="1:19" x14ac:dyDescent="0.25">
      <c r="A91" s="69"/>
      <c r="B91" s="15"/>
      <c r="C91" s="23"/>
      <c r="D91" s="15"/>
      <c r="E91" s="23"/>
      <c r="F91" s="66"/>
      <c r="G91" s="23"/>
      <c r="H91" s="67"/>
      <c r="I91" s="45"/>
      <c r="O91" s="103" t="s">
        <v>248</v>
      </c>
      <c r="P91" s="105" t="str">
        <f>IF(AND(B88&lt;&gt;"",F88=""),"Check","Validated")</f>
        <v>Validated</v>
      </c>
      <c r="Q91" s="105" t="s">
        <v>2</v>
      </c>
      <c r="R91" s="104"/>
    </row>
    <row r="92" spans="1:19" x14ac:dyDescent="0.25">
      <c r="A92" s="69"/>
      <c r="B92" s="26"/>
      <c r="C92" s="70"/>
      <c r="D92" s="26"/>
      <c r="E92" s="26"/>
      <c r="F92" s="26"/>
      <c r="G92" s="26"/>
      <c r="H92" s="26"/>
      <c r="I92" s="45"/>
      <c r="O92" s="103" t="s">
        <v>249</v>
      </c>
      <c r="P92" s="105" t="str">
        <f>IF(AND(B88&lt;&gt;"",H88=""),"Check","Validated")</f>
        <v>Validated</v>
      </c>
      <c r="Q92" s="105" t="s">
        <v>2</v>
      </c>
      <c r="R92" s="104"/>
    </row>
    <row r="93" spans="1:19" x14ac:dyDescent="0.25">
      <c r="A93" s="41"/>
      <c r="B93" s="40" t="s">
        <v>79</v>
      </c>
      <c r="C93" s="64"/>
      <c r="D93" s="64"/>
      <c r="E93" s="64"/>
      <c r="F93" s="20"/>
      <c r="G93" s="4"/>
      <c r="H93" s="26"/>
      <c r="I93" s="45"/>
      <c r="O93" s="103" t="s">
        <v>212</v>
      </c>
      <c r="P93" s="105" t="str">
        <f>IF((B96&amp;D96&amp;F96)="","Check","Validated")</f>
        <v>Check</v>
      </c>
      <c r="Q93" s="104" t="s">
        <v>2</v>
      </c>
      <c r="R93" s="104"/>
    </row>
    <row r="94" spans="1:19" s="5" customFormat="1" ht="6" customHeight="1" x14ac:dyDescent="0.25">
      <c r="A94" s="7"/>
      <c r="B94" s="4"/>
      <c r="C94" s="4"/>
      <c r="D94" s="11"/>
      <c r="E94" s="4"/>
      <c r="F94" s="4"/>
      <c r="G94" s="4"/>
      <c r="H94" s="11"/>
      <c r="I94" s="10"/>
      <c r="J94" s="4"/>
      <c r="K94" s="4"/>
      <c r="O94" s="103" t="s">
        <v>213</v>
      </c>
      <c r="P94" s="105" t="str">
        <f>IF(TOE_PI&lt;&gt;"Employee","Validated",IF(B106="","Check","Validated"))</f>
        <v>Check</v>
      </c>
      <c r="Q94" s="105" t="s">
        <v>2</v>
      </c>
      <c r="R94" s="104"/>
      <c r="S94"/>
    </row>
    <row r="95" spans="1:19" x14ac:dyDescent="0.25">
      <c r="A95" s="41"/>
      <c r="B95" s="25" t="s">
        <v>78</v>
      </c>
      <c r="C95" s="21"/>
      <c r="D95" s="25" t="s">
        <v>80</v>
      </c>
      <c r="E95" s="21"/>
      <c r="F95" s="25" t="s">
        <v>81</v>
      </c>
      <c r="G95" s="21"/>
      <c r="H95" s="57" t="s">
        <v>82</v>
      </c>
      <c r="I95" s="45"/>
      <c r="O95" s="103" t="s">
        <v>215</v>
      </c>
      <c r="P95" s="105" t="str">
        <f>IF(AND(B106&lt;&gt;"",D106=""),"Check","Validated")</f>
        <v>Validated</v>
      </c>
      <c r="Q95" s="105" t="s">
        <v>2</v>
      </c>
      <c r="R95" s="104"/>
    </row>
    <row r="96" spans="1:19" x14ac:dyDescent="0.25">
      <c r="A96" s="41"/>
      <c r="B96" s="15"/>
      <c r="C96" s="22"/>
      <c r="D96" s="65"/>
      <c r="E96" s="22"/>
      <c r="F96" s="65"/>
      <c r="G96" s="22"/>
      <c r="H96" s="58"/>
      <c r="I96" s="45"/>
      <c r="O96" s="103" t="s">
        <v>216</v>
      </c>
      <c r="P96" s="105" t="str">
        <f>IF(AND(B106&lt;&gt;"",F106=""),"Check","Validated")</f>
        <v>Validated</v>
      </c>
      <c r="Q96" s="105" t="s">
        <v>2</v>
      </c>
      <c r="R96" s="104"/>
    </row>
    <row r="97" spans="1:19" x14ac:dyDescent="0.25">
      <c r="A97" s="69"/>
      <c r="B97" s="15"/>
      <c r="C97" s="22"/>
      <c r="D97" s="65"/>
      <c r="E97" s="22"/>
      <c r="F97" s="65"/>
      <c r="G97" s="22"/>
      <c r="H97" s="58"/>
      <c r="I97" s="45"/>
      <c r="O97" s="103" t="s">
        <v>214</v>
      </c>
      <c r="R97" s="104"/>
    </row>
    <row r="98" spans="1:19" x14ac:dyDescent="0.25">
      <c r="A98" s="69"/>
      <c r="B98" s="15"/>
      <c r="C98" s="22"/>
      <c r="D98" s="65"/>
      <c r="E98" s="22"/>
      <c r="F98" s="65"/>
      <c r="G98" s="22"/>
      <c r="H98" s="58"/>
      <c r="I98" s="45"/>
      <c r="O98" s="103" t="s">
        <v>217</v>
      </c>
      <c r="P98" s="105" t="str">
        <f>IF(AND(B107&lt;&gt;"",D107=""),"Check","Validated")</f>
        <v>Validated</v>
      </c>
      <c r="Q98" s="105" t="s">
        <v>2</v>
      </c>
      <c r="R98" s="104"/>
    </row>
    <row r="99" spans="1:19" x14ac:dyDescent="0.25">
      <c r="A99" s="69"/>
      <c r="B99" s="15"/>
      <c r="C99" s="22"/>
      <c r="D99" s="65"/>
      <c r="E99" s="22"/>
      <c r="F99" s="65"/>
      <c r="G99" s="22"/>
      <c r="H99" s="58"/>
      <c r="I99" s="45"/>
      <c r="O99" s="103" t="s">
        <v>219</v>
      </c>
      <c r="P99" s="105" t="str">
        <f>IF(AND(B107&lt;&gt;"",F107=""),"Check","Validated")</f>
        <v>Validated</v>
      </c>
      <c r="Q99" s="105" t="s">
        <v>2</v>
      </c>
      <c r="R99" s="104"/>
    </row>
    <row r="100" spans="1:19" x14ac:dyDescent="0.25">
      <c r="A100" s="69"/>
      <c r="B100" s="15"/>
      <c r="C100" s="22"/>
      <c r="D100" s="65"/>
      <c r="E100" s="22"/>
      <c r="F100" s="65"/>
      <c r="G100" s="22"/>
      <c r="H100" s="58"/>
      <c r="I100" s="45"/>
      <c r="O100" s="103" t="s">
        <v>220</v>
      </c>
      <c r="R100" s="104"/>
    </row>
    <row r="101" spans="1:19" x14ac:dyDescent="0.25">
      <c r="A101" s="69"/>
      <c r="B101" s="15"/>
      <c r="C101" s="23"/>
      <c r="D101" s="65"/>
      <c r="E101" s="23"/>
      <c r="F101" s="65"/>
      <c r="G101" s="23"/>
      <c r="H101" s="58"/>
      <c r="I101" s="45"/>
      <c r="O101" s="103" t="s">
        <v>218</v>
      </c>
      <c r="P101" s="105" t="str">
        <f>IF(AND(B108&lt;&gt;"",D108=""),"Check","Validated")</f>
        <v>Validated</v>
      </c>
      <c r="Q101" s="105" t="s">
        <v>2</v>
      </c>
      <c r="R101" s="104"/>
    </row>
    <row r="102" spans="1:19" x14ac:dyDescent="0.25">
      <c r="A102" s="69"/>
      <c r="B102" s="26"/>
      <c r="C102" s="70"/>
      <c r="D102" s="26"/>
      <c r="E102" s="26"/>
      <c r="F102" s="26"/>
      <c r="G102" s="26"/>
      <c r="H102" s="26"/>
      <c r="I102" s="45"/>
      <c r="O102" s="103" t="s">
        <v>221</v>
      </c>
      <c r="P102" s="105" t="str">
        <f>IF(AND(B108&lt;&gt;"",F108=""),"Check","Validated")</f>
        <v>Validated</v>
      </c>
      <c r="Q102" s="105" t="s">
        <v>2</v>
      </c>
      <c r="R102" s="104"/>
    </row>
    <row r="103" spans="1:19" x14ac:dyDescent="0.25">
      <c r="A103" s="69"/>
      <c r="B103" s="40" t="s">
        <v>83</v>
      </c>
      <c r="C103" s="64"/>
      <c r="D103" s="64"/>
      <c r="E103" s="64"/>
      <c r="F103" s="20"/>
      <c r="G103" s="4"/>
      <c r="H103" s="26"/>
      <c r="I103" s="45"/>
      <c r="O103" s="103" t="s">
        <v>226</v>
      </c>
      <c r="R103" s="104"/>
    </row>
    <row r="104" spans="1:19" s="5" customFormat="1" ht="6" customHeight="1" x14ac:dyDescent="0.25">
      <c r="A104" s="69"/>
      <c r="B104" s="4"/>
      <c r="C104" s="4"/>
      <c r="D104" s="11"/>
      <c r="E104" s="4"/>
      <c r="F104" s="4"/>
      <c r="G104" s="4"/>
      <c r="H104" s="11"/>
      <c r="I104" s="45"/>
      <c r="J104" s="4"/>
      <c r="K104" s="4"/>
      <c r="O104" s="103" t="s">
        <v>227</v>
      </c>
      <c r="P104" s="105" t="str">
        <f>IF(AND(B109&lt;&gt;"",D109=""),"Check","Validated")</f>
        <v>Validated</v>
      </c>
      <c r="Q104" s="105" t="s">
        <v>2</v>
      </c>
      <c r="R104" s="104"/>
      <c r="S104"/>
    </row>
    <row r="105" spans="1:19" x14ac:dyDescent="0.25">
      <c r="A105" s="69"/>
      <c r="B105" s="25" t="s">
        <v>84</v>
      </c>
      <c r="C105" s="21"/>
      <c r="D105" s="25" t="s">
        <v>85</v>
      </c>
      <c r="E105" s="21"/>
      <c r="F105" s="25" t="s">
        <v>8</v>
      </c>
      <c r="G105" s="21"/>
      <c r="H105" s="57" t="s">
        <v>94</v>
      </c>
      <c r="I105" s="45"/>
      <c r="L105" s="106" t="s">
        <v>258</v>
      </c>
      <c r="M105" s="106" t="s">
        <v>84</v>
      </c>
      <c r="N105" s="106" t="s">
        <v>85</v>
      </c>
      <c r="O105" s="103" t="s">
        <v>228</v>
      </c>
      <c r="P105" s="105" t="str">
        <f>IF(AND(B109&lt;&gt;"",F109=""),"Check","Validated")</f>
        <v>Validated</v>
      </c>
      <c r="Q105" s="105" t="s">
        <v>2</v>
      </c>
      <c r="R105" s="104"/>
    </row>
    <row r="106" spans="1:19" x14ac:dyDescent="0.25">
      <c r="A106" s="69"/>
      <c r="B106" s="15"/>
      <c r="C106" s="22"/>
      <c r="D106" s="65"/>
      <c r="E106" s="22"/>
      <c r="F106" s="65"/>
      <c r="G106" s="22"/>
      <c r="H106" s="67" t="s">
        <v>794</v>
      </c>
      <c r="I106" s="45"/>
      <c r="L106" s="111" t="str">
        <f ca="1">IF(M106="","",MAX(L$105:L105)+1)</f>
        <v/>
      </c>
      <c r="M106" s="107" t="str">
        <f t="shared" ref="M106:M111" ca="1" si="2">IF(B106="","",IF(((TODAY()-F106)/365)&gt;=18,B106,""))</f>
        <v/>
      </c>
      <c r="N106" s="107" t="str">
        <f t="shared" ref="N106:N111" ca="1" si="3">IF(B106="","",IF(((TODAY()-F106)/365)&gt;=18,D106,""))</f>
        <v/>
      </c>
      <c r="O106" s="103" t="s">
        <v>229</v>
      </c>
      <c r="R106" s="104"/>
    </row>
    <row r="107" spans="1:19" x14ac:dyDescent="0.25">
      <c r="A107" s="69"/>
      <c r="B107" s="15"/>
      <c r="C107" s="22"/>
      <c r="D107" s="65"/>
      <c r="E107" s="22"/>
      <c r="F107" s="65"/>
      <c r="G107" s="22"/>
      <c r="H107" s="67" t="s">
        <v>794</v>
      </c>
      <c r="I107" s="45"/>
      <c r="L107" s="111" t="str">
        <f ca="1">IF(M107="","",MAX(L$105:L106)+1)</f>
        <v/>
      </c>
      <c r="M107" s="107" t="str">
        <f t="shared" ca="1" si="2"/>
        <v/>
      </c>
      <c r="N107" s="107" t="str">
        <f t="shared" ca="1" si="3"/>
        <v/>
      </c>
      <c r="O107" s="103" t="s">
        <v>230</v>
      </c>
      <c r="P107" s="105" t="str">
        <f>IF(AND(B110&lt;&gt;"",D110=""),"Check","Validated")</f>
        <v>Validated</v>
      </c>
      <c r="Q107" s="105" t="s">
        <v>2</v>
      </c>
      <c r="R107" s="104"/>
    </row>
    <row r="108" spans="1:19" x14ac:dyDescent="0.25">
      <c r="A108" s="69"/>
      <c r="B108" s="15"/>
      <c r="C108" s="22"/>
      <c r="D108" s="65"/>
      <c r="E108" s="22"/>
      <c r="F108" s="65"/>
      <c r="G108" s="22"/>
      <c r="H108" s="67" t="s">
        <v>794</v>
      </c>
      <c r="I108" s="45"/>
      <c r="L108" s="111" t="str">
        <f ca="1">IF(M108="","",MAX(L$105:L107)+1)</f>
        <v/>
      </c>
      <c r="M108" s="107" t="str">
        <f t="shared" ca="1" si="2"/>
        <v/>
      </c>
      <c r="N108" s="107" t="str">
        <f t="shared" ca="1" si="3"/>
        <v/>
      </c>
      <c r="O108" s="103" t="s">
        <v>231</v>
      </c>
      <c r="P108" s="105" t="str">
        <f>IF(AND(B110&lt;&gt;"",F110=""),"Check","Validated")</f>
        <v>Validated</v>
      </c>
      <c r="Q108" s="105" t="s">
        <v>2</v>
      </c>
      <c r="R108" s="104"/>
    </row>
    <row r="109" spans="1:19" x14ac:dyDescent="0.25">
      <c r="A109" s="69"/>
      <c r="B109" s="15"/>
      <c r="C109" s="22"/>
      <c r="D109" s="65"/>
      <c r="E109" s="22"/>
      <c r="F109" s="65"/>
      <c r="G109" s="22"/>
      <c r="H109" s="67" t="s">
        <v>794</v>
      </c>
      <c r="I109" s="45"/>
      <c r="L109" s="111" t="str">
        <f ca="1">IF(M109="","",MAX(L$105:L108)+1)</f>
        <v/>
      </c>
      <c r="M109" s="111" t="str">
        <f t="shared" ca="1" si="2"/>
        <v/>
      </c>
      <c r="N109" s="111" t="str">
        <f t="shared" ca="1" si="3"/>
        <v/>
      </c>
      <c r="O109" s="103" t="s">
        <v>232</v>
      </c>
      <c r="R109" s="104"/>
    </row>
    <row r="110" spans="1:19" x14ac:dyDescent="0.25">
      <c r="A110" s="69"/>
      <c r="B110" s="15"/>
      <c r="C110" s="22"/>
      <c r="D110" s="65"/>
      <c r="E110" s="22"/>
      <c r="F110" s="65"/>
      <c r="G110" s="22"/>
      <c r="H110" s="67" t="s">
        <v>794</v>
      </c>
      <c r="I110" s="45"/>
      <c r="L110" s="111" t="str">
        <f ca="1">IF(M110="","",MAX(L$105:L109)+1)</f>
        <v/>
      </c>
      <c r="M110" s="111" t="str">
        <f t="shared" ca="1" si="2"/>
        <v/>
      </c>
      <c r="N110" s="111" t="str">
        <f t="shared" ca="1" si="3"/>
        <v/>
      </c>
      <c r="O110" s="103" t="s">
        <v>233</v>
      </c>
      <c r="P110" s="105" t="str">
        <f>IF(AND(B111&lt;&gt;"",D111=""),"Check","Validated")</f>
        <v>Validated</v>
      </c>
      <c r="Q110" s="105" t="s">
        <v>2</v>
      </c>
      <c r="R110" s="104"/>
    </row>
    <row r="111" spans="1:19" x14ac:dyDescent="0.25">
      <c r="A111" s="69"/>
      <c r="B111" s="15"/>
      <c r="C111" s="23"/>
      <c r="D111" s="65"/>
      <c r="E111" s="23"/>
      <c r="F111" s="65"/>
      <c r="G111" s="23"/>
      <c r="H111" s="67" t="s">
        <v>794</v>
      </c>
      <c r="I111" s="45"/>
      <c r="L111" s="111" t="str">
        <f ca="1">IF(M111="","",MAX(L$105:L110)+1)</f>
        <v/>
      </c>
      <c r="M111" s="111" t="str">
        <f t="shared" ca="1" si="2"/>
        <v/>
      </c>
      <c r="N111" s="111" t="str">
        <f t="shared" ca="1" si="3"/>
        <v/>
      </c>
      <c r="O111" s="103" t="s">
        <v>234</v>
      </c>
      <c r="P111" s="105" t="str">
        <f>IF(AND(B111&lt;&gt;"",F111=""),"Check","Validated")</f>
        <v>Validated</v>
      </c>
      <c r="Q111" s="105" t="s">
        <v>2</v>
      </c>
      <c r="R111" s="104"/>
    </row>
    <row r="112" spans="1:19" x14ac:dyDescent="0.25">
      <c r="A112" s="69"/>
      <c r="B112" s="26"/>
      <c r="C112" s="70"/>
      <c r="D112" s="26"/>
      <c r="E112" s="26"/>
      <c r="F112" s="26"/>
      <c r="G112" s="26"/>
      <c r="H112" s="11"/>
      <c r="I112" s="45"/>
      <c r="M112" t="s">
        <v>501</v>
      </c>
      <c r="N112" s="528" t="b">
        <f>N_D=COUNTIF($D$106:$D$111,"Daughter")</f>
        <v>1</v>
      </c>
      <c r="O112" s="103" t="s">
        <v>222</v>
      </c>
      <c r="P112" s="105" t="str">
        <f>IF(TOE_PI&lt;&gt;"Employee","Validated",IF(D117="","Check","Validated"))</f>
        <v>Check</v>
      </c>
      <c r="Q112" s="105" t="s">
        <v>2</v>
      </c>
      <c r="R112" s="104"/>
    </row>
    <row r="113" spans="1:19" x14ac:dyDescent="0.25">
      <c r="A113" s="69"/>
      <c r="B113" s="40" t="s">
        <v>92</v>
      </c>
      <c r="C113" s="64"/>
      <c r="D113" s="64"/>
      <c r="E113" s="64"/>
      <c r="F113" s="20"/>
      <c r="G113" s="26"/>
      <c r="H113" s="39" t="s">
        <v>172</v>
      </c>
      <c r="I113" s="45"/>
      <c r="M113" t="s">
        <v>502</v>
      </c>
      <c r="N113" s="528" t="b">
        <f>N_S=COUNTIF($D$106:$D$111,"Son")</f>
        <v>1</v>
      </c>
      <c r="O113" s="103" t="s">
        <v>711</v>
      </c>
      <c r="P113" s="105" t="str">
        <f>IF(TOE_PI&lt;&gt;"Employee","Validated",IF(D125="","Check","Validated"))</f>
        <v>Check</v>
      </c>
      <c r="Q113" s="105" t="s">
        <v>2</v>
      </c>
      <c r="R113" s="104"/>
    </row>
    <row r="114" spans="1:19" s="5" customFormat="1" ht="6" customHeight="1" x14ac:dyDescent="0.25">
      <c r="A114" s="69"/>
      <c r="B114" s="4"/>
      <c r="C114" s="4"/>
      <c r="D114" s="11"/>
      <c r="E114" s="4"/>
      <c r="F114" s="4"/>
      <c r="G114" s="4"/>
      <c r="H114" s="11"/>
      <c r="I114" s="45"/>
      <c r="J114" s="4"/>
      <c r="K114" s="4"/>
      <c r="O114" s="103" t="s">
        <v>213</v>
      </c>
      <c r="P114" s="105" t="str">
        <f>IF(TOE_PI&lt;&gt;"Employee","Validated",IF(B128="","Check","Validated"))</f>
        <v>Check</v>
      </c>
      <c r="Q114" s="105" t="s">
        <v>2</v>
      </c>
      <c r="R114" s="104"/>
      <c r="S114"/>
    </row>
    <row r="115" spans="1:19" x14ac:dyDescent="0.25">
      <c r="A115" s="41"/>
      <c r="B115" s="12" t="s">
        <v>253</v>
      </c>
      <c r="C115" s="51" t="s">
        <v>1</v>
      </c>
      <c r="D115" s="754"/>
      <c r="E115" s="752"/>
      <c r="F115" s="753"/>
      <c r="G115" s="29"/>
      <c r="H115" s="100" t="s">
        <v>177</v>
      </c>
      <c r="I115" s="45"/>
      <c r="N115" t="b">
        <f>N113=N112</f>
        <v>1</v>
      </c>
      <c r="O115" s="103" t="s">
        <v>224</v>
      </c>
      <c r="P115" s="105" t="str">
        <f>IF(AND(B128&lt;&gt;"",F128=""),"Check","Validated")</f>
        <v>Validated</v>
      </c>
      <c r="Q115" s="105" t="s">
        <v>2</v>
      </c>
      <c r="R115" s="104"/>
    </row>
    <row r="116" spans="1:19" s="5" customFormat="1" ht="6" customHeight="1" x14ac:dyDescent="0.25">
      <c r="A116" s="69"/>
      <c r="B116" s="4"/>
      <c r="C116" s="4"/>
      <c r="D116" s="11"/>
      <c r="E116" s="4"/>
      <c r="F116" s="4"/>
      <c r="G116" s="4"/>
      <c r="H116" s="11"/>
      <c r="I116" s="45"/>
      <c r="J116" s="4"/>
      <c r="K116" s="4"/>
      <c r="O116" s="103" t="s">
        <v>225</v>
      </c>
      <c r="P116" s="105" t="str">
        <f>IF(AND(B128&lt;&gt;"",H128=""),"Check","Validated")</f>
        <v>Validated</v>
      </c>
      <c r="Q116" s="105" t="s">
        <v>2</v>
      </c>
      <c r="R116" s="104"/>
      <c r="S116"/>
    </row>
    <row r="117" spans="1:19" x14ac:dyDescent="0.25">
      <c r="A117" s="41"/>
      <c r="B117" s="12" t="s">
        <v>159</v>
      </c>
      <c r="C117" s="51" t="s">
        <v>1</v>
      </c>
      <c r="D117" s="763"/>
      <c r="E117" s="764"/>
      <c r="F117" s="764"/>
      <c r="G117" s="29"/>
      <c r="H117" s="100" t="s">
        <v>504</v>
      </c>
      <c r="I117" s="45"/>
      <c r="O117" s="103" t="s">
        <v>792</v>
      </c>
      <c r="P117" s="105" t="str">
        <f>IF(F119="","Check","Validated")</f>
        <v>Validated</v>
      </c>
      <c r="Q117" s="105" t="s">
        <v>2</v>
      </c>
      <c r="R117" s="104"/>
    </row>
    <row r="118" spans="1:19" s="5" customFormat="1" ht="12" customHeight="1" x14ac:dyDescent="0.25">
      <c r="A118" s="69"/>
      <c r="B118" s="4"/>
      <c r="C118" s="4"/>
      <c r="D118" s="535"/>
      <c r="E118" s="4"/>
      <c r="F118" s="4"/>
      <c r="G118" s="4"/>
      <c r="H118" s="11"/>
      <c r="I118" s="45"/>
      <c r="J118" s="4"/>
      <c r="K118" s="4"/>
      <c r="O118" s="103" t="s">
        <v>793</v>
      </c>
      <c r="P118" s="105" t="str">
        <f>IF(F121="","Check","Validated")</f>
        <v>Validated</v>
      </c>
      <c r="Q118" s="105" t="s">
        <v>2</v>
      </c>
      <c r="R118" s="104"/>
      <c r="S118"/>
    </row>
    <row r="119" spans="1:19" s="5" customFormat="1" ht="12" customHeight="1" x14ac:dyDescent="0.25">
      <c r="A119" s="69"/>
      <c r="B119" s="747" t="s">
        <v>759</v>
      </c>
      <c r="C119" s="747"/>
      <c r="D119" s="747"/>
      <c r="E119" s="728" t="s">
        <v>1</v>
      </c>
      <c r="F119" s="729" t="s">
        <v>795</v>
      </c>
      <c r="G119" s="4"/>
      <c r="H119" s="11"/>
      <c r="I119" s="45"/>
      <c r="J119" s="4"/>
      <c r="K119" s="4"/>
      <c r="O119" s="103"/>
      <c r="P119" s="105"/>
      <c r="Q119" s="105"/>
      <c r="R119" s="104"/>
      <c r="S119"/>
    </row>
    <row r="120" spans="1:19" s="5" customFormat="1" ht="12" customHeight="1" x14ac:dyDescent="0.25">
      <c r="A120" s="69"/>
      <c r="B120" s="4"/>
      <c r="C120" s="4"/>
      <c r="D120" s="535"/>
      <c r="E120" s="4"/>
      <c r="F120" s="4"/>
      <c r="G120" s="4"/>
      <c r="H120" s="11"/>
      <c r="I120" s="45"/>
      <c r="J120" s="4"/>
      <c r="K120" s="4"/>
      <c r="O120" s="103"/>
      <c r="P120" s="105"/>
      <c r="Q120" s="105"/>
      <c r="R120" s="104"/>
      <c r="S120"/>
    </row>
    <row r="121" spans="1:19" s="5" customFormat="1" ht="12" customHeight="1" x14ac:dyDescent="0.25">
      <c r="A121" s="69"/>
      <c r="B121" s="748" t="s">
        <v>758</v>
      </c>
      <c r="C121" s="749"/>
      <c r="D121" s="750"/>
      <c r="E121" s="728" t="s">
        <v>1</v>
      </c>
      <c r="F121" s="729" t="s">
        <v>794</v>
      </c>
      <c r="G121" s="4"/>
      <c r="H121" s="11"/>
      <c r="I121" s="45"/>
      <c r="J121" s="4"/>
      <c r="K121" s="4"/>
      <c r="O121" s="103"/>
      <c r="P121" s="105"/>
      <c r="Q121" s="105"/>
      <c r="R121" s="104"/>
      <c r="S121"/>
    </row>
    <row r="122" spans="1:19" s="5" customFormat="1" ht="12" customHeight="1" x14ac:dyDescent="0.25">
      <c r="A122" s="69"/>
      <c r="B122" s="4"/>
      <c r="C122" s="4"/>
      <c r="D122" s="535"/>
      <c r="E122" s="4"/>
      <c r="F122" s="4"/>
      <c r="G122" s="4"/>
      <c r="H122" s="11"/>
      <c r="I122" s="45"/>
      <c r="J122" s="4"/>
      <c r="K122" s="4"/>
      <c r="O122" s="103" t="s">
        <v>214</v>
      </c>
      <c r="P122" s="105"/>
      <c r="Q122" s="105"/>
      <c r="R122" s="104"/>
      <c r="S122"/>
    </row>
    <row r="123" spans="1:19" x14ac:dyDescent="0.25">
      <c r="A123" s="41"/>
      <c r="B123" s="12" t="s">
        <v>252</v>
      </c>
      <c r="C123" s="51" t="s">
        <v>1</v>
      </c>
      <c r="D123" s="751"/>
      <c r="E123" s="752"/>
      <c r="F123" s="753"/>
      <c r="G123" s="29"/>
      <c r="H123" s="11"/>
      <c r="I123" s="45"/>
      <c r="O123" s="103" t="s">
        <v>235</v>
      </c>
      <c r="P123" s="105" t="str">
        <f>IF(AND(B129&lt;&gt;"",F129=""),"Check","Validated")</f>
        <v>Validated</v>
      </c>
      <c r="Q123" s="105" t="s">
        <v>2</v>
      </c>
      <c r="R123" s="104"/>
    </row>
    <row r="124" spans="1:19" s="5" customFormat="1" ht="6" customHeight="1" x14ac:dyDescent="0.25">
      <c r="A124" s="69"/>
      <c r="B124" s="4"/>
      <c r="C124" s="4"/>
      <c r="D124" s="11"/>
      <c r="E124" s="4"/>
      <c r="F124" s="4"/>
      <c r="G124" s="4"/>
      <c r="H124" s="11"/>
      <c r="I124" s="45"/>
      <c r="J124" s="4"/>
      <c r="K124" s="4"/>
      <c r="O124" s="103" t="s">
        <v>236</v>
      </c>
      <c r="P124" s="105" t="str">
        <f>IF(AND(B129&lt;&gt;"",H129=""),"Check","Validated")</f>
        <v>Validated</v>
      </c>
      <c r="Q124" s="105" t="s">
        <v>2</v>
      </c>
      <c r="R124" s="104"/>
      <c r="S124"/>
    </row>
    <row r="125" spans="1:19" hidden="1" x14ac:dyDescent="0.25">
      <c r="A125" s="41"/>
      <c r="B125" s="12" t="s">
        <v>775</v>
      </c>
      <c r="C125" s="51" t="s">
        <v>1</v>
      </c>
      <c r="D125" s="723"/>
      <c r="E125" s="51"/>
      <c r="F125" s="12" t="s">
        <v>776</v>
      </c>
      <c r="G125" s="29"/>
      <c r="H125" s="15"/>
      <c r="I125" s="45"/>
      <c r="O125" s="103"/>
      <c r="R125" s="104"/>
    </row>
    <row r="126" spans="1:19" s="5" customFormat="1" ht="6" customHeight="1" x14ac:dyDescent="0.25">
      <c r="A126" s="69"/>
      <c r="B126" s="4"/>
      <c r="C126" s="4"/>
      <c r="D126" s="11"/>
      <c r="E126" s="4"/>
      <c r="F126" s="4"/>
      <c r="G126" s="4"/>
      <c r="H126" s="11"/>
      <c r="I126" s="45"/>
      <c r="J126" s="4"/>
      <c r="K126" s="4"/>
      <c r="O126" s="103"/>
      <c r="P126" s="105"/>
      <c r="Q126" s="105"/>
      <c r="R126" s="104"/>
      <c r="S126"/>
    </row>
    <row r="127" spans="1:19" x14ac:dyDescent="0.25">
      <c r="A127" s="69"/>
      <c r="B127" s="25" t="s">
        <v>84</v>
      </c>
      <c r="C127" s="21"/>
      <c r="D127" s="25" t="s">
        <v>85</v>
      </c>
      <c r="E127" s="21"/>
      <c r="F127" s="25"/>
      <c r="G127" s="21"/>
      <c r="H127" s="57" t="s">
        <v>93</v>
      </c>
      <c r="I127" s="45"/>
      <c r="M127" s="106" t="s">
        <v>84</v>
      </c>
      <c r="N127" s="106" t="s">
        <v>85</v>
      </c>
      <c r="O127" s="103" t="s">
        <v>220</v>
      </c>
      <c r="R127" s="104"/>
    </row>
    <row r="128" spans="1:19" x14ac:dyDescent="0.25">
      <c r="A128" s="69"/>
      <c r="B128" s="74" t="s">
        <v>797</v>
      </c>
      <c r="C128" s="22"/>
      <c r="D128" s="13" t="str">
        <f t="shared" ref="D128:D133" ca="1" si="4">IFERROR(VLOOKUP(B128,$M$128:$N$133,2,0),"")</f>
        <v/>
      </c>
      <c r="E128" s="22"/>
      <c r="F128" s="712"/>
      <c r="G128" s="22"/>
      <c r="H128" s="67"/>
      <c r="I128" s="45"/>
      <c r="M128" s="107" t="str">
        <f t="shared" ref="M128:M133" ca="1" si="5">IFERROR(INDEX($M$106:$M$111,MATCH(ROW()-ROW($M$127),$L$106:$L$111,0)),"")</f>
        <v/>
      </c>
      <c r="N128" s="107" t="str">
        <f t="shared" ref="N128:N133" ca="1" si="6">IF(OR(VLOOKUP(M128,$M$106:$N$111,2,0)="Wife",VLOOKUP(M128,$M$106:$N$111,2,0)="Husband"),"Spouse",VLOOKUP(M128,$M$106:$N$111,2,0))</f>
        <v/>
      </c>
      <c r="O128" s="103" t="s">
        <v>237</v>
      </c>
      <c r="P128" s="105" t="str">
        <f>IF(AND(B130&lt;&gt;"",F130=""),"Check","Validated")</f>
        <v>Validated</v>
      </c>
      <c r="Q128" s="105" t="s">
        <v>2</v>
      </c>
      <c r="R128" s="104"/>
    </row>
    <row r="129" spans="1:18" x14ac:dyDescent="0.25">
      <c r="A129" s="69"/>
      <c r="B129" s="74"/>
      <c r="C129" s="22"/>
      <c r="D129" s="13" t="str">
        <f t="shared" ca="1" si="4"/>
        <v/>
      </c>
      <c r="E129" s="22"/>
      <c r="F129" s="712"/>
      <c r="G129" s="22"/>
      <c r="H129" s="67"/>
      <c r="I129" s="45"/>
      <c r="M129" s="107" t="str">
        <f t="shared" ca="1" si="5"/>
        <v/>
      </c>
      <c r="N129" s="107" t="str">
        <f t="shared" ca="1" si="6"/>
        <v/>
      </c>
      <c r="O129" s="103" t="s">
        <v>238</v>
      </c>
      <c r="P129" s="105" t="str">
        <f>IF(AND(B130&lt;&gt;"",H130=""),"Check","Validated")</f>
        <v>Validated</v>
      </c>
      <c r="Q129" s="105" t="s">
        <v>2</v>
      </c>
      <c r="R129" s="104"/>
    </row>
    <row r="130" spans="1:18" x14ac:dyDescent="0.25">
      <c r="A130" s="69"/>
      <c r="B130" s="74"/>
      <c r="C130" s="22"/>
      <c r="D130" s="13" t="str">
        <f t="shared" ca="1" si="4"/>
        <v/>
      </c>
      <c r="E130" s="22"/>
      <c r="F130" s="712"/>
      <c r="G130" s="22"/>
      <c r="H130" s="67"/>
      <c r="I130" s="45"/>
      <c r="M130" s="107" t="str">
        <f t="shared" ca="1" si="5"/>
        <v/>
      </c>
      <c r="N130" s="107" t="str">
        <f t="shared" ca="1" si="6"/>
        <v/>
      </c>
      <c r="O130" s="103" t="s">
        <v>226</v>
      </c>
      <c r="R130" s="104"/>
    </row>
    <row r="131" spans="1:18" x14ac:dyDescent="0.25">
      <c r="A131" s="69"/>
      <c r="B131" s="74"/>
      <c r="C131" s="22"/>
      <c r="D131" s="13" t="str">
        <f t="shared" ca="1" si="4"/>
        <v/>
      </c>
      <c r="E131" s="22"/>
      <c r="F131" s="712"/>
      <c r="G131" s="22"/>
      <c r="H131" s="67"/>
      <c r="I131" s="45"/>
      <c r="M131" s="111" t="str">
        <f t="shared" ca="1" si="5"/>
        <v/>
      </c>
      <c r="N131" s="107" t="str">
        <f t="shared" ca="1" si="6"/>
        <v/>
      </c>
      <c r="O131" s="103" t="s">
        <v>239</v>
      </c>
      <c r="P131" s="105" t="str">
        <f>IF(AND(B131&lt;&gt;"",F131=""),"Check","Validated")</f>
        <v>Validated</v>
      </c>
      <c r="Q131" s="105" t="s">
        <v>2</v>
      </c>
      <c r="R131" s="104"/>
    </row>
    <row r="132" spans="1:18" x14ac:dyDescent="0.25">
      <c r="A132" s="69"/>
      <c r="B132" s="74"/>
      <c r="C132" s="22"/>
      <c r="D132" s="13" t="str">
        <f t="shared" ca="1" si="4"/>
        <v/>
      </c>
      <c r="E132" s="22"/>
      <c r="F132" s="712"/>
      <c r="G132" s="22"/>
      <c r="H132" s="67"/>
      <c r="I132" s="45"/>
      <c r="M132" s="111" t="str">
        <f t="shared" ca="1" si="5"/>
        <v/>
      </c>
      <c r="N132" s="107" t="str">
        <f t="shared" ca="1" si="6"/>
        <v/>
      </c>
      <c r="O132" s="103" t="s">
        <v>240</v>
      </c>
      <c r="P132" s="105" t="str">
        <f>IF(AND(B131&lt;&gt;"",H131=""),"Check","Validated")</f>
        <v>Validated</v>
      </c>
      <c r="Q132" s="105" t="s">
        <v>2</v>
      </c>
      <c r="R132" s="104"/>
    </row>
    <row r="133" spans="1:18" x14ac:dyDescent="0.25">
      <c r="A133" s="69"/>
      <c r="B133" s="74"/>
      <c r="C133" s="23"/>
      <c r="D133" s="13" t="str">
        <f t="shared" ca="1" si="4"/>
        <v/>
      </c>
      <c r="E133" s="23"/>
      <c r="F133" s="712"/>
      <c r="G133" s="23"/>
      <c r="H133" s="67"/>
      <c r="I133" s="45"/>
      <c r="M133" s="111" t="str">
        <f t="shared" ca="1" si="5"/>
        <v/>
      </c>
      <c r="N133" s="107" t="str">
        <f t="shared" ca="1" si="6"/>
        <v/>
      </c>
      <c r="O133" s="32" t="s">
        <v>704</v>
      </c>
      <c r="P133" s="105" t="str">
        <f>IF(OR(SUM($F$128:$F$133)&gt;1,SUM($H$128:$H$133)&gt;1),"Check","Validated")</f>
        <v>Validated</v>
      </c>
      <c r="Q133" s="105" t="s">
        <v>2</v>
      </c>
      <c r="R133" s="104"/>
    </row>
    <row r="134" spans="1:18" x14ac:dyDescent="0.25">
      <c r="A134" s="69"/>
      <c r="B134" s="26"/>
      <c r="C134" s="70"/>
      <c r="D134" s="26"/>
      <c r="E134" s="26"/>
      <c r="F134" s="26"/>
      <c r="G134" s="26"/>
      <c r="H134" s="26"/>
      <c r="I134" s="45"/>
      <c r="O134" s="103" t="s">
        <v>256</v>
      </c>
      <c r="P134" s="105" t="str">
        <f>IF(TOE_PI&lt;&gt;"Employee","Validated",IF(F137="","Check","Validated"))</f>
        <v>Validated</v>
      </c>
      <c r="Q134" s="105" t="s">
        <v>2</v>
      </c>
      <c r="R134" s="104"/>
    </row>
    <row r="135" spans="1:18" x14ac:dyDescent="0.25">
      <c r="A135" s="69"/>
      <c r="B135" s="40" t="s">
        <v>125</v>
      </c>
      <c r="C135" s="68"/>
      <c r="D135" s="68"/>
      <c r="E135" s="68"/>
      <c r="F135" s="68"/>
      <c r="G135" s="68"/>
      <c r="H135" s="55"/>
      <c r="I135" s="45"/>
      <c r="O135" s="32" t="s">
        <v>503</v>
      </c>
      <c r="P135" s="105" t="str">
        <f>IF(TOE_PI&lt;&gt;"Employee","Validated",IF(Children_Check=FALSE,"Check","Validated"))</f>
        <v>Validated</v>
      </c>
      <c r="Q135" s="105" t="s">
        <v>2</v>
      </c>
      <c r="R135" s="104"/>
    </row>
    <row r="136" spans="1:18" s="5" customFormat="1" x14ac:dyDescent="0.25">
      <c r="A136" s="69"/>
      <c r="B136" s="4"/>
      <c r="C136" s="4"/>
      <c r="D136" s="11"/>
      <c r="E136" s="4"/>
      <c r="F136" s="4"/>
      <c r="G136" s="4"/>
      <c r="H136" s="11"/>
      <c r="I136" s="45"/>
      <c r="J136" s="4"/>
      <c r="K136" s="4"/>
      <c r="O136" s="103" t="s">
        <v>718</v>
      </c>
      <c r="P136" s="105" t="str">
        <f>IF(TOE_PI&lt;&gt;"Employee","Validated",IF(F142="","Check","Validated"))</f>
        <v>Validated</v>
      </c>
      <c r="Q136" s="105" t="s">
        <v>2</v>
      </c>
      <c r="R136" s="104"/>
    </row>
    <row r="137" spans="1:18" x14ac:dyDescent="0.25">
      <c r="A137" s="41"/>
      <c r="B137" s="95" t="s">
        <v>255</v>
      </c>
      <c r="C137" s="96"/>
      <c r="D137" s="94"/>
      <c r="E137" s="51" t="s">
        <v>1</v>
      </c>
      <c r="F137" s="92" t="s">
        <v>721</v>
      </c>
      <c r="G137" s="29"/>
      <c r="H137" s="29"/>
      <c r="I137" s="45"/>
      <c r="O137" s="32" t="s">
        <v>712</v>
      </c>
      <c r="P137" s="105" t="str">
        <f>IF(TOE_PI&lt;&gt;"Employee","Validated",IF(N_InLaw="Not Availing","Validated",IF(F144="","Check","Validated")))</f>
        <v>Validated</v>
      </c>
      <c r="Q137" s="105" t="s">
        <v>2</v>
      </c>
    </row>
    <row r="138" spans="1:18" x14ac:dyDescent="0.25">
      <c r="A138" s="69"/>
      <c r="B138" s="26"/>
      <c r="C138" s="70"/>
      <c r="D138" s="26"/>
      <c r="E138" s="26"/>
      <c r="F138" s="26"/>
      <c r="G138" s="26"/>
      <c r="H138" s="26"/>
      <c r="I138" s="45"/>
      <c r="O138" s="32" t="s">
        <v>719</v>
      </c>
      <c r="P138" s="105" t="str">
        <f>IF(TOE_PI&lt;&gt;"Employee","Validated",IF(N_InLaw="Not Availing","Validated",IF(B147="","Check","Validated")))</f>
        <v>Validated</v>
      </c>
      <c r="Q138" s="105" t="s">
        <v>2</v>
      </c>
    </row>
    <row r="139" spans="1:18" x14ac:dyDescent="0.25">
      <c r="A139" s="69"/>
      <c r="B139" s="38" t="s">
        <v>697</v>
      </c>
      <c r="C139" s="109"/>
      <c r="D139" s="109"/>
      <c r="E139" s="109"/>
      <c r="F139" s="109"/>
      <c r="G139" s="109"/>
      <c r="H139" s="56"/>
      <c r="I139" s="45"/>
      <c r="O139" s="32" t="s">
        <v>720</v>
      </c>
      <c r="P139" s="105" t="str">
        <f>IF(TOE_PI&lt;&gt;"Employee","Validated",IF(N_InLaw="Not Availing","Validated",IF(F144="Single","Validated",IF(B148="","Check","Validated"))))</f>
        <v>Validated</v>
      </c>
      <c r="Q139" s="105" t="s">
        <v>2</v>
      </c>
    </row>
    <row r="140" spans="1:18" x14ac:dyDescent="0.25">
      <c r="A140" s="69"/>
      <c r="B140" s="709" t="s">
        <v>698</v>
      </c>
      <c r="C140" s="710"/>
      <c r="D140" s="710"/>
      <c r="E140" s="710"/>
      <c r="F140" s="710"/>
      <c r="G140" s="710"/>
      <c r="H140" s="711"/>
      <c r="I140" s="45"/>
    </row>
    <row r="141" spans="1:18" s="5" customFormat="1" ht="24" customHeight="1" x14ac:dyDescent="0.25">
      <c r="A141" s="69"/>
      <c r="B141" s="4"/>
      <c r="C141" s="4"/>
      <c r="D141" s="11"/>
      <c r="E141" s="4"/>
      <c r="F141" s="4"/>
      <c r="G141" s="4"/>
      <c r="H141" s="11"/>
      <c r="I141" s="45"/>
      <c r="J141" s="4"/>
      <c r="K141" s="4"/>
      <c r="O141" s="103"/>
      <c r="R141" s="104"/>
    </row>
    <row r="142" spans="1:18" x14ac:dyDescent="0.25">
      <c r="A142" s="41"/>
      <c r="B142" s="95" t="s">
        <v>716</v>
      </c>
      <c r="C142" s="96"/>
      <c r="D142" s="94"/>
      <c r="E142" s="51" t="s">
        <v>1</v>
      </c>
      <c r="F142" s="92" t="s">
        <v>721</v>
      </c>
      <c r="G142" s="29"/>
      <c r="H142" s="29"/>
      <c r="I142" s="45"/>
    </row>
    <row r="143" spans="1:18" x14ac:dyDescent="0.25">
      <c r="A143" s="41"/>
      <c r="B143" s="4"/>
      <c r="C143" s="4"/>
      <c r="D143" s="4"/>
      <c r="E143" s="4"/>
      <c r="F143" s="4"/>
      <c r="G143" s="4"/>
      <c r="H143" s="4"/>
      <c r="I143" s="45"/>
    </row>
    <row r="144" spans="1:18" x14ac:dyDescent="0.25">
      <c r="A144" s="41"/>
      <c r="B144" s="95" t="s">
        <v>713</v>
      </c>
      <c r="C144" s="96"/>
      <c r="D144" s="94"/>
      <c r="E144" s="51" t="s">
        <v>1</v>
      </c>
      <c r="F144" s="92"/>
      <c r="G144" s="29"/>
      <c r="H144" s="29"/>
      <c r="I144" s="45"/>
    </row>
    <row r="145" spans="1:17" x14ac:dyDescent="0.25">
      <c r="A145" s="41"/>
      <c r="B145" s="4"/>
      <c r="C145" s="6"/>
      <c r="D145" s="26"/>
      <c r="E145" s="46"/>
      <c r="F145" s="46"/>
      <c r="G145" s="29"/>
      <c r="H145" s="29"/>
      <c r="I145" s="45"/>
    </row>
    <row r="146" spans="1:17" x14ac:dyDescent="0.25">
      <c r="A146" s="41"/>
      <c r="B146" s="25" t="s">
        <v>714</v>
      </c>
      <c r="C146" s="21"/>
      <c r="D146" s="25" t="s">
        <v>85</v>
      </c>
      <c r="E146" s="21"/>
      <c r="F146" s="25" t="s">
        <v>8</v>
      </c>
      <c r="G146" s="21"/>
      <c r="H146" s="57" t="s">
        <v>94</v>
      </c>
      <c r="I146" s="45"/>
    </row>
    <row r="147" spans="1:17" x14ac:dyDescent="0.25">
      <c r="A147" s="41"/>
      <c r="B147" s="15"/>
      <c r="C147" s="22"/>
      <c r="D147" s="65"/>
      <c r="E147" s="22"/>
      <c r="F147" s="65"/>
      <c r="G147" s="22"/>
      <c r="H147" s="714" t="s">
        <v>794</v>
      </c>
      <c r="I147" s="45"/>
    </row>
    <row r="148" spans="1:17" x14ac:dyDescent="0.25">
      <c r="A148" s="41"/>
      <c r="B148" s="15"/>
      <c r="C148" s="22"/>
      <c r="D148" s="65"/>
      <c r="E148" s="22"/>
      <c r="F148" s="65"/>
      <c r="G148" s="22"/>
      <c r="H148" s="714" t="s">
        <v>794</v>
      </c>
      <c r="I148" s="45"/>
    </row>
    <row r="149" spans="1:17" x14ac:dyDescent="0.25">
      <c r="A149" s="69"/>
      <c r="B149" s="46"/>
      <c r="C149" s="46"/>
      <c r="D149" s="46"/>
      <c r="E149" s="46"/>
      <c r="F149" s="46"/>
      <c r="G149" s="46"/>
      <c r="H149" s="46"/>
      <c r="I149" s="45"/>
    </row>
    <row r="150" spans="1:17" x14ac:dyDescent="0.25">
      <c r="A150" s="69"/>
      <c r="B150" s="40" t="s">
        <v>715</v>
      </c>
      <c r="C150" s="68"/>
      <c r="D150" s="68"/>
      <c r="E150" s="68"/>
      <c r="F150" s="68"/>
      <c r="G150" s="68"/>
      <c r="H150" s="55"/>
      <c r="I150" s="45"/>
    </row>
    <row r="151" spans="1:17" ht="15.75" thickBot="1" x14ac:dyDescent="0.3">
      <c r="A151" s="526"/>
      <c r="B151" s="71"/>
      <c r="C151" s="72"/>
      <c r="D151" s="71"/>
      <c r="E151" s="71"/>
      <c r="F151" s="71"/>
      <c r="G151" s="71"/>
      <c r="H151" s="527"/>
      <c r="I151" s="73"/>
    </row>
    <row r="152" spans="1:17" x14ac:dyDescent="0.25"/>
    <row r="153" spans="1:17" hidden="1" x14ac:dyDescent="0.25">
      <c r="O153" s="103"/>
    </row>
    <row r="154" spans="1:17" hidden="1" x14ac:dyDescent="0.25">
      <c r="O154" s="103" t="b">
        <f ca="1">IF(P154&gt;=Q154,TRUE,FALSE)</f>
        <v>0</v>
      </c>
      <c r="P154" s="105">
        <f ca="1">COUNTIFS($P$8:$P$136,"Validated")</f>
        <v>37</v>
      </c>
      <c r="Q154" s="105">
        <f>COUNTIFS($Q$8:$Q$136,"x")</f>
        <v>92</v>
      </c>
    </row>
  </sheetData>
  <sheetProtection selectLockedCells="1"/>
  <mergeCells count="40">
    <mergeCell ref="L2:R5"/>
    <mergeCell ref="D54:F54"/>
    <mergeCell ref="D58:F58"/>
    <mergeCell ref="D38:F38"/>
    <mergeCell ref="D31:F31"/>
    <mergeCell ref="D34:F34"/>
    <mergeCell ref="D32:F32"/>
    <mergeCell ref="D29:F29"/>
    <mergeCell ref="D61:F61"/>
    <mergeCell ref="D64:F64"/>
    <mergeCell ref="A2:I6"/>
    <mergeCell ref="D10:F10"/>
    <mergeCell ref="D11:F11"/>
    <mergeCell ref="D12:F12"/>
    <mergeCell ref="F14:H14"/>
    <mergeCell ref="D62:F62"/>
    <mergeCell ref="D63:F63"/>
    <mergeCell ref="D33:F33"/>
    <mergeCell ref="D20:F20"/>
    <mergeCell ref="D55:F55"/>
    <mergeCell ref="D56:F56"/>
    <mergeCell ref="D57:F57"/>
    <mergeCell ref="D30:F30"/>
    <mergeCell ref="H40:H42"/>
    <mergeCell ref="B119:D119"/>
    <mergeCell ref="B121:D121"/>
    <mergeCell ref="D123:F123"/>
    <mergeCell ref="D115:F115"/>
    <mergeCell ref="D16:F16"/>
    <mergeCell ref="D17:F17"/>
    <mergeCell ref="D18:F18"/>
    <mergeCell ref="D19:F19"/>
    <mergeCell ref="D117:F117"/>
    <mergeCell ref="D21:F21"/>
    <mergeCell ref="D22:F22"/>
    <mergeCell ref="D37:F37"/>
    <mergeCell ref="D25:F25"/>
    <mergeCell ref="D26:F26"/>
    <mergeCell ref="D27:F27"/>
    <mergeCell ref="D28:F28"/>
  </mergeCells>
  <conditionalFormatting sqref="H127:H133 H146:H148 H105:H111">
    <cfRule type="expression" dxfId="24" priority="4">
      <formula>$D$20="Expat"</formula>
    </cfRule>
  </conditionalFormatting>
  <conditionalFormatting sqref="H106:H111">
    <cfRule type="expression" dxfId="23" priority="1">
      <formula>$D$20="Expat"</formula>
    </cfRule>
  </conditionalFormatting>
  <dataValidations count="27">
    <dataValidation type="list" allowBlank="1" showInputMessage="1" showErrorMessage="1" sqref="F137" xr:uid="{00000000-0002-0000-0400-000000000000}">
      <formula1>"Not Availing,Rs. 1 Lakh, Rs. 2 Lakhs, Rs. 3 Lakhs, Rs. 5 Lakhs, Rs. 10 Lakhs, Rs. 15 Lakhs"</formula1>
    </dataValidation>
    <dataValidation type="list" allowBlank="1" showInputMessage="1" showErrorMessage="1" sqref="B128:B133" xr:uid="{00000000-0002-0000-0400-000001000000}">
      <formula1>$M$128:$M$133</formula1>
    </dataValidation>
    <dataValidation allowBlank="1" showInputMessage="1" showErrorMessage="1" error="Wrong date format" sqref="D128:D133" xr:uid="{00000000-0002-0000-0400-000002000000}"/>
    <dataValidation type="custom" allowBlank="1" showInputMessage="1" showErrorMessage="1" error="Enter only Number" sqref="F128:F133 H128:H133" xr:uid="{00000000-0002-0000-0400-000003000000}">
      <formula1>ISNUMBER(F128)</formula1>
    </dataValidation>
    <dataValidation type="date" allowBlank="1" showInputMessage="1" showErrorMessage="1" error="Wrong date format" promptTitle="Date Format" prompt="Date format should be DD/MMM/YY (eg. 22/Mar/81 result in 22-Mar-81)" sqref="D96:D101 F147:F148 D18:F18 F96:F101 F106:F111 D56:D57 E56:F56" xr:uid="{00000000-0002-0000-0400-000004000000}">
      <formula1>1</formula1>
      <formula2>73082</formula2>
    </dataValidation>
    <dataValidation type="list" allowBlank="1" showInputMessage="1" showErrorMessage="1" error="Wrong date format" sqref="D106:D111" xr:uid="{00000000-0002-0000-0400-000005000000}">
      <formula1>Relationship</formula1>
    </dataValidation>
    <dataValidation type="list" allowBlank="1" showInputMessage="1" showErrorMessage="1" sqref="B86:B91" xr:uid="{00000000-0002-0000-0400-000006000000}">
      <formula1>Qualification</formula1>
    </dataValidation>
    <dataValidation type="list" allowBlank="1" showInputMessage="1" showErrorMessage="1" sqref="D33:F33" xr:uid="{00000000-0002-0000-0400-000007000000}">
      <formula1>"Yes,No"</formula1>
    </dataValidation>
    <dataValidation type="list" allowBlank="1" showInputMessage="1" showErrorMessage="1" sqref="D37:D38" xr:uid="{00000000-0002-0000-0400-000008000000}">
      <formula1>"0,1,2,3"</formula1>
    </dataValidation>
    <dataValidation type="list" allowBlank="1" showInputMessage="1" showErrorMessage="1" sqref="D26:F26" xr:uid="{00000000-0002-0000-0400-000009000000}">
      <formula1>Martial_Status</formula1>
    </dataValidation>
    <dataValidation type="list" allowBlank="1" showInputMessage="1" showErrorMessage="1" sqref="D27:F27" xr:uid="{00000000-0002-0000-0400-00000A000000}">
      <formula1>Blood_Group</formula1>
    </dataValidation>
    <dataValidation type="list" allowBlank="1" showInputMessage="1" showErrorMessage="1" sqref="F8" xr:uid="{00000000-0002-0000-0400-00000B000000}">
      <formula1>"Passport,Pan Card, 10th Mark List"</formula1>
    </dataValidation>
    <dataValidation type="list" allowBlank="1" showInputMessage="1" showErrorMessage="1" sqref="D25:F25" xr:uid="{00000000-0002-0000-0400-00000C000000}">
      <formula1>Gender</formula1>
    </dataValidation>
    <dataValidation type="list" allowBlank="1" showInputMessage="1" showErrorMessage="1" sqref="D29:F29" xr:uid="{00000000-0002-0000-0400-00000D000000}">
      <formula1>"Kannadiga,Non-Kannadiga"</formula1>
    </dataValidation>
    <dataValidation type="list" allowBlank="1" showInputMessage="1" showErrorMessage="1" sqref="D23" xr:uid="{00000000-0002-0000-0400-00000E000000}">
      <formula1>"Bangalore,Chennai"</formula1>
    </dataValidation>
    <dataValidation type="list" allowBlank="1" showInputMessage="1" showErrorMessage="1" sqref="F23" xr:uid="{00000000-0002-0000-0400-00000F000000}">
      <formula1>INDIRECT($D$23)</formula1>
    </dataValidation>
    <dataValidation type="list" allowBlank="1" showInputMessage="1" showErrorMessage="1" sqref="D30:F30" xr:uid="{00000000-0002-0000-0400-000011000000}">
      <formula1>Domcile</formula1>
    </dataValidation>
    <dataValidation type="custom" allowBlank="1" showInputMessage="1" showErrorMessage="1" error="Please enter 10 digit Mobile Number" sqref="D50 H77 D77 H50" xr:uid="{00000000-0002-0000-0400-000012000000}">
      <formula1>AND(ISNUMBER(D50),LEN(D50)=10)</formula1>
    </dataValidation>
    <dataValidation type="custom" operator="greaterThan" allowBlank="1" showInputMessage="1" showErrorMessage="1" error="Enter 12 Digit UAN Number_x000a_" sqref="D120:F120 D117:F118" xr:uid="{00000000-0002-0000-0400-000013000000}">
      <formula1>LEN(D117)=12</formula1>
    </dataValidation>
    <dataValidation type="custom" allowBlank="1" showInputMessage="1" showErrorMessage="1" error="Age should be &gt; 20 or_x000a_Wrong Date format" promptTitle="Date Format" prompt="Date format should be DD/MMM/YY (eg. 22/Mar/81 result in 22-Mar-81)" sqref="D19:F19" xr:uid="{00000000-0002-0000-0400-000014000000}">
      <formula1>AND(D19&lt;&gt;"",DATEDIF(D19,TODAY(),"y")&gt;18)</formula1>
    </dataValidation>
    <dataValidation type="custom" allowBlank="1" showInputMessage="1" showErrorMessage="1" error="Enter Only Pincode [6 - Digit]" sqref="D48 H48 D75 H75" xr:uid="{00000000-0002-0000-0400-000015000000}">
      <formula1>AND(LEN(D48)=6,ISNUMBER(D48))</formula1>
    </dataValidation>
    <dataValidation type="custom" allowBlank="1" showInputMessage="1" showErrorMessage="1" error="Enter Correct PAN Number [10 Digit]" sqref="D64:F64" xr:uid="{00000000-0002-0000-0400-000016000000}">
      <formula1>LEN(D64)=10</formula1>
    </dataValidation>
    <dataValidation type="list" allowBlank="1" showInputMessage="1" showErrorMessage="1" sqref="D34:F34" xr:uid="{00000000-0002-0000-0400-000017000000}">
      <formula1>"LOCOMOTIVE,VISUAL,HEARING"</formula1>
    </dataValidation>
    <dataValidation type="list" allowBlank="1" showInputMessage="1" showErrorMessage="1" sqref="F142" xr:uid="{00000000-0002-0000-0400-000018000000}">
      <formula1>"Not Availing,Rs. 2 Lakhs, Rs. 3 Lakhs, Rs. 5 Lakhs"</formula1>
    </dataValidation>
    <dataValidation type="list" allowBlank="1" showInputMessage="1" showErrorMessage="1" sqref="F144" xr:uid="{00000000-0002-0000-0400-000019000000}">
      <formula1>"Single,Both"</formula1>
    </dataValidation>
    <dataValidation type="list" allowBlank="1" showInputMessage="1" showErrorMessage="1" error="Wrong date format" sqref="D147:D148" xr:uid="{00000000-0002-0000-0400-00001A000000}">
      <formula1>"Father-in-Law,Mother-in-Law"</formula1>
    </dataValidation>
    <dataValidation type="list" operator="greaterThan" allowBlank="1" showInputMessage="1" showErrorMessage="1" error="Enter 12 Digit UAN Number_x000a_" sqref="F119 F121" xr:uid="{B931F749-6999-4768-AA87-7F86DE367DA8}">
      <formula1>"Yes,No"</formula1>
    </dataValidation>
  </dataValidations>
  <pageMargins left="0.7" right="0.7" top="0.75" bottom="0.75" header="0.3" footer="0.3"/>
  <pageSetup scale="61" fitToHeight="2" orientation="portrait" r:id="rId1"/>
  <headerFooter>
    <oddHeader xml:space="preserve">&amp;L -   </oddHeader>
    <oddFooter>&amp;CPage &amp;P - &amp;N</oddFooter>
  </headerFooter>
  <rowBreaks count="1" manualBreakCount="1">
    <brk id="79" max="9"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6DF5747-9940-4D3E-BDF9-0D66777FC22B}">
          <x14:formula1>
            <xm:f>List!$L$2:$L$8</xm:f>
          </x14:formula1>
          <xm:sqref>D21:F21</xm:sqref>
        </x14:dataValidation>
        <x14:dataValidation type="list" allowBlank="1" showInputMessage="1" showErrorMessage="1" xr:uid="{00000000-0002-0000-0400-000010000000}">
          <x14:formula1>
            <xm:f>List!J2:J8</xm:f>
          </x14:formula1>
          <xm:sqref>D20:F20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R43"/>
  <sheetViews>
    <sheetView showGridLines="0" showRowColHeaders="0" topLeftCell="A31" zoomScaleNormal="100" zoomScaleSheetLayoutView="70" workbookViewId="0">
      <selection activeCell="F33" sqref="F33"/>
    </sheetView>
  </sheetViews>
  <sheetFormatPr defaultColWidth="0" defaultRowHeight="15" zeroHeight="1" x14ac:dyDescent="0.25"/>
  <cols>
    <col min="1" max="1" width="1.42578125" style="29" customWidth="1"/>
    <col min="2" max="2" width="46.28515625" style="29" customWidth="1"/>
    <col min="3" max="3" width="1.140625" style="29" customWidth="1"/>
    <col min="4" max="4" width="34" style="29" bestFit="1" customWidth="1"/>
    <col min="5" max="5" width="1.140625" style="29" customWidth="1"/>
    <col min="6" max="6" width="23.7109375" style="29" customWidth="1"/>
    <col min="7" max="7" width="1.5703125" style="29" customWidth="1"/>
    <col min="8" max="8" width="1.42578125" style="29" customWidth="1"/>
    <col min="9" max="9" width="1.42578125" style="29" hidden="1" customWidth="1"/>
    <col min="10" max="10" width="9.140625" style="29" hidden="1" customWidth="1"/>
    <col min="11" max="11" width="13.42578125" style="29" hidden="1" customWidth="1"/>
    <col min="12" max="12" width="20.28515625" style="29" hidden="1" customWidth="1"/>
    <col min="13" max="13" width="26.5703125" style="29" hidden="1" customWidth="1"/>
    <col min="14" max="14" width="49" style="29" hidden="1" customWidth="1"/>
    <col min="15" max="15" width="12.28515625" style="29" hidden="1" customWidth="1"/>
    <col min="16" max="16" width="12.7109375" style="29" hidden="1" customWidth="1"/>
    <col min="17" max="17" width="12.85546875" style="29" hidden="1" customWidth="1"/>
    <col min="18" max="16384" width="9.140625" style="29" hidden="1"/>
  </cols>
  <sheetData>
    <row r="1" spans="1:18" x14ac:dyDescent="0.25">
      <c r="A1" s="529"/>
      <c r="B1" s="117"/>
      <c r="C1" s="117"/>
      <c r="D1" s="117"/>
      <c r="E1" s="117"/>
      <c r="F1" s="117"/>
      <c r="G1" s="60"/>
      <c r="K1" s="785" t="s">
        <v>223</v>
      </c>
      <c r="L1" s="785"/>
      <c r="M1" s="785"/>
      <c r="N1" s="785"/>
      <c r="O1" s="785"/>
      <c r="P1" s="785"/>
      <c r="Q1" s="785"/>
    </row>
    <row r="2" spans="1:18" ht="15" customHeight="1" x14ac:dyDescent="0.25">
      <c r="A2" s="786" t="s">
        <v>262</v>
      </c>
      <c r="B2" s="787"/>
      <c r="C2" s="787"/>
      <c r="D2" s="787"/>
      <c r="E2" s="787"/>
      <c r="F2" s="787"/>
      <c r="G2" s="788"/>
      <c r="K2" s="785"/>
      <c r="L2" s="785"/>
      <c r="M2" s="785"/>
      <c r="N2" s="785"/>
      <c r="O2" s="785"/>
      <c r="P2" s="785"/>
      <c r="Q2" s="785"/>
    </row>
    <row r="3" spans="1:18" ht="15" customHeight="1" x14ac:dyDescent="0.25">
      <c r="A3" s="786"/>
      <c r="B3" s="787"/>
      <c r="C3" s="787"/>
      <c r="D3" s="787"/>
      <c r="E3" s="787"/>
      <c r="F3" s="787"/>
      <c r="G3" s="788"/>
      <c r="K3" s="785"/>
      <c r="L3" s="785"/>
      <c r="M3" s="785"/>
      <c r="N3" s="785"/>
      <c r="O3" s="785"/>
      <c r="P3" s="785"/>
      <c r="Q3" s="785"/>
    </row>
    <row r="4" spans="1:18" ht="15" customHeight="1" x14ac:dyDescent="0.25">
      <c r="A4" s="786"/>
      <c r="B4" s="787"/>
      <c r="C4" s="787"/>
      <c r="D4" s="787"/>
      <c r="E4" s="787"/>
      <c r="F4" s="787"/>
      <c r="G4" s="788"/>
      <c r="K4" s="785"/>
      <c r="L4" s="785"/>
      <c r="M4" s="785"/>
      <c r="N4" s="785"/>
      <c r="O4" s="785"/>
      <c r="P4" s="785"/>
      <c r="Q4" s="785"/>
    </row>
    <row r="5" spans="1:18" ht="15" customHeight="1" x14ac:dyDescent="0.25">
      <c r="A5" s="786"/>
      <c r="B5" s="787"/>
      <c r="C5" s="787"/>
      <c r="D5" s="787"/>
      <c r="E5" s="787"/>
      <c r="F5" s="787"/>
      <c r="G5" s="788"/>
      <c r="K5"/>
      <c r="L5"/>
      <c r="M5"/>
      <c r="N5" s="32"/>
      <c r="O5" s="105"/>
      <c r="P5" s="105"/>
      <c r="Q5" s="32"/>
    </row>
    <row r="6" spans="1:18" ht="15.75" customHeight="1" thickBot="1" x14ac:dyDescent="0.3">
      <c r="A6" s="789"/>
      <c r="B6" s="790"/>
      <c r="C6" s="790"/>
      <c r="D6" s="790"/>
      <c r="E6" s="790"/>
      <c r="F6" s="790"/>
      <c r="G6" s="791"/>
      <c r="K6"/>
      <c r="L6"/>
      <c r="M6"/>
      <c r="N6" s="102" t="s">
        <v>173</v>
      </c>
      <c r="O6" s="101" t="s">
        <v>174</v>
      </c>
      <c r="P6" s="101" t="s">
        <v>175</v>
      </c>
      <c r="Q6" s="101"/>
    </row>
    <row r="7" spans="1:18" s="118" customFormat="1" ht="6" customHeight="1" x14ac:dyDescent="0.25">
      <c r="A7" s="41"/>
      <c r="B7" s="6"/>
      <c r="C7" s="46"/>
      <c r="D7" s="6"/>
      <c r="E7" s="6"/>
      <c r="F7" s="6"/>
      <c r="G7" s="114"/>
      <c r="H7" s="29"/>
      <c r="I7" s="6"/>
      <c r="J7" s="6"/>
      <c r="K7"/>
      <c r="L7"/>
      <c r="M7"/>
      <c r="N7" s="103"/>
      <c r="O7" s="104"/>
      <c r="P7" s="104"/>
      <c r="Q7" s="104"/>
      <c r="R7" s="29"/>
    </row>
    <row r="8" spans="1:18" x14ac:dyDescent="0.25">
      <c r="A8" s="119"/>
      <c r="B8" s="120" t="s">
        <v>263</v>
      </c>
      <c r="C8" s="46"/>
      <c r="D8" s="115"/>
      <c r="E8" s="115"/>
      <c r="F8" s="115"/>
      <c r="G8" s="121"/>
      <c r="L8" s="5"/>
      <c r="M8" s="5"/>
      <c r="N8" s="103" t="str">
        <f>B15</f>
        <v>Transportation opted (Mode of Transportation)</v>
      </c>
      <c r="O8" s="104" t="str">
        <f>IF(T_OPT="","Check","Validated")</f>
        <v>Check</v>
      </c>
      <c r="P8" s="104" t="s">
        <v>2</v>
      </c>
      <c r="Q8" s="104"/>
    </row>
    <row r="9" spans="1:18" s="118" customFormat="1" ht="6" customHeight="1" x14ac:dyDescent="0.25">
      <c r="A9" s="41"/>
      <c r="B9" s="6"/>
      <c r="C9" s="46"/>
      <c r="D9" s="6"/>
      <c r="E9" s="6"/>
      <c r="F9" s="6"/>
      <c r="G9" s="114"/>
      <c r="H9" s="29"/>
      <c r="I9" s="6"/>
      <c r="J9" s="6"/>
      <c r="K9"/>
      <c r="L9"/>
      <c r="M9"/>
      <c r="N9" s="103"/>
      <c r="O9" s="104"/>
      <c r="P9" s="104"/>
      <c r="Q9" s="104"/>
      <c r="R9" s="29"/>
    </row>
    <row r="10" spans="1:18" x14ac:dyDescent="0.25">
      <c r="A10" s="41"/>
      <c r="B10" s="122" t="s">
        <v>260</v>
      </c>
      <c r="C10" s="51" t="s">
        <v>1</v>
      </c>
      <c r="D10" s="116" t="str">
        <f>IF(E_Name="","",E_Name)</f>
        <v xml:space="preserve">  </v>
      </c>
      <c r="E10" s="115"/>
      <c r="F10" s="123" t="s">
        <v>4</v>
      </c>
      <c r="G10" s="45"/>
      <c r="K10" s="5" t="s">
        <v>508</v>
      </c>
      <c r="L10"/>
      <c r="M10"/>
      <c r="N10" s="103" t="str">
        <f>B21</f>
        <v>Two Wheeler/Four Wheeler</v>
      </c>
      <c r="O10" s="104" t="str">
        <f>IF(AND(T_OPT="Own Transport",D21=""),"Check","Validated")</f>
        <v>Validated</v>
      </c>
      <c r="P10" s="104" t="s">
        <v>2</v>
      </c>
      <c r="Q10" s="104"/>
    </row>
    <row r="11" spans="1:18" x14ac:dyDescent="0.25">
      <c r="A11" s="41"/>
      <c r="B11" s="122" t="s">
        <v>21</v>
      </c>
      <c r="C11" s="51" t="s">
        <v>1</v>
      </c>
      <c r="D11" s="116" t="str">
        <f>IF(Empl_No="","",Empl_No)</f>
        <v>NA</v>
      </c>
      <c r="E11" s="115"/>
      <c r="F11" s="13" t="s">
        <v>5</v>
      </c>
      <c r="G11" s="45"/>
      <c r="K11" t="s">
        <v>509</v>
      </c>
      <c r="L11"/>
      <c r="M11"/>
      <c r="N11" s="103" t="str">
        <f>B22</f>
        <v>Parking</v>
      </c>
      <c r="O11" s="104" t="str">
        <f>IF(AND(T_OPT="Own Transport",D22=""),"Check","Validated")</f>
        <v>Validated</v>
      </c>
      <c r="P11" s="104" t="s">
        <v>2</v>
      </c>
      <c r="Q11" s="104"/>
    </row>
    <row r="12" spans="1:18" x14ac:dyDescent="0.25">
      <c r="A12" s="41"/>
      <c r="B12" s="122" t="s">
        <v>120</v>
      </c>
      <c r="C12" s="51" t="s">
        <v>1</v>
      </c>
      <c r="D12" s="116" t="str">
        <f>IF(TOE_PI="","",TOE_PI)</f>
        <v>Employee</v>
      </c>
      <c r="E12" s="115"/>
      <c r="F12" s="52" t="s">
        <v>6</v>
      </c>
      <c r="G12" s="45"/>
      <c r="K12" s="5" t="s">
        <v>510</v>
      </c>
      <c r="L12" s="5"/>
      <c r="M12" s="5"/>
      <c r="N12" s="103" t="str">
        <f>$B$24&amp;" "&amp;B26</f>
        <v>Vehicle Details:  Registration Number</v>
      </c>
      <c r="O12" s="104" t="str">
        <f>IF(AND(T_OPT="Own Transport",D26=""),"Check","Validated")</f>
        <v>Validated</v>
      </c>
      <c r="P12" s="104" t="s">
        <v>2</v>
      </c>
      <c r="Q12" s="104"/>
    </row>
    <row r="13" spans="1:18" x14ac:dyDescent="0.25">
      <c r="A13" s="41"/>
      <c r="B13" s="122" t="s">
        <v>99</v>
      </c>
      <c r="C13" s="51" t="s">
        <v>1</v>
      </c>
      <c r="D13" s="116" t="str">
        <f>IF('Personal Information'!$F$23=0,"",'Personal Information'!$F$23)</f>
        <v/>
      </c>
      <c r="E13" s="115"/>
      <c r="F13" s="14" t="s">
        <v>7</v>
      </c>
      <c r="G13" s="45"/>
      <c r="K13" t="s">
        <v>509</v>
      </c>
      <c r="L13"/>
      <c r="M13"/>
      <c r="N13" s="103" t="str">
        <f>$B$24&amp;" "&amp;B27</f>
        <v>Vehicle Details:  Make &amp; Colour</v>
      </c>
      <c r="O13" s="104" t="str">
        <f>IF(AND(T_OPT="Own Transport",D27=""),"Check","Validated")</f>
        <v>Validated</v>
      </c>
      <c r="P13" s="104" t="s">
        <v>2</v>
      </c>
      <c r="Q13" s="104"/>
    </row>
    <row r="14" spans="1:18" ht="15.75" thickBot="1" x14ac:dyDescent="0.3">
      <c r="A14" s="41"/>
      <c r="B14" s="122" t="s">
        <v>261</v>
      </c>
      <c r="C14" s="51" t="s">
        <v>1</v>
      </c>
      <c r="D14" s="713"/>
      <c r="E14" s="115"/>
      <c r="F14" s="115"/>
      <c r="G14" s="45"/>
      <c r="K14" s="5" t="s">
        <v>505</v>
      </c>
    </row>
    <row r="15" spans="1:18" x14ac:dyDescent="0.25">
      <c r="A15" s="41"/>
      <c r="B15" s="122" t="s">
        <v>270</v>
      </c>
      <c r="C15" s="51" t="s">
        <v>1</v>
      </c>
      <c r="D15" s="124"/>
      <c r="E15" s="115"/>
      <c r="F15" s="115"/>
      <c r="G15" s="45"/>
      <c r="N15" s="103" t="b">
        <f>O15=P15</f>
        <v>0</v>
      </c>
      <c r="O15" s="105">
        <f>COUNTIF(O8:O14,"Validated")</f>
        <v>4</v>
      </c>
      <c r="P15" s="105">
        <f>COUNTIF($P$8:$P$14,"x")</f>
        <v>5</v>
      </c>
    </row>
    <row r="16" spans="1:18" ht="15" customHeight="1" x14ac:dyDescent="0.25">
      <c r="A16" s="119"/>
      <c r="B16" s="122" t="s">
        <v>25</v>
      </c>
      <c r="C16" s="115"/>
      <c r="D16" s="116" cm="1">
        <f t="array" ref="D16:F16">'Personal Information'!D27:F27</f>
        <v>0</v>
      </c>
      <c r="E16" s="115">
        <v>0</v>
      </c>
      <c r="F16" s="115">
        <v>0</v>
      </c>
      <c r="G16" s="121"/>
    </row>
    <row r="17" spans="1:18" hidden="1" x14ac:dyDescent="0.25">
      <c r="A17" s="119"/>
      <c r="B17" s="120" t="s">
        <v>264</v>
      </c>
      <c r="C17" s="115"/>
      <c r="D17" s="115"/>
      <c r="E17" s="115"/>
      <c r="F17" s="115"/>
      <c r="G17" s="121"/>
    </row>
    <row r="18" spans="1:18" s="118" customFormat="1" ht="6" hidden="1" customHeight="1" x14ac:dyDescent="0.25">
      <c r="A18" s="41"/>
      <c r="B18" s="6"/>
      <c r="C18" s="46"/>
      <c r="D18" s="6"/>
      <c r="E18" s="6"/>
      <c r="F18" s="6"/>
      <c r="G18" s="114"/>
      <c r="H18" s="29"/>
      <c r="I18" s="6"/>
      <c r="J18" s="6"/>
      <c r="N18" s="103"/>
      <c r="O18" s="104"/>
      <c r="P18" s="104"/>
      <c r="Q18" s="104"/>
      <c r="R18" s="29"/>
    </row>
    <row r="19" spans="1:18" hidden="1" x14ac:dyDescent="0.25">
      <c r="A19" s="119"/>
      <c r="B19" s="126" t="str">
        <f>CONCATENATE("I, ",D10," would like to avail parking facility at ITPL/ Prtiech for my")</f>
        <v>I,    would like to avail parking facility at ITPL/ Prtiech for my</v>
      </c>
      <c r="C19" s="115"/>
      <c r="D19" s="115"/>
      <c r="E19" s="115"/>
      <c r="F19" s="115"/>
      <c r="G19" s="121"/>
    </row>
    <row r="20" spans="1:18" s="118" customFormat="1" ht="6" hidden="1" customHeight="1" x14ac:dyDescent="0.25">
      <c r="A20" s="41"/>
      <c r="B20" s="6"/>
      <c r="C20" s="46"/>
      <c r="D20" s="6"/>
      <c r="E20" s="6"/>
      <c r="F20" s="6"/>
      <c r="G20" s="114"/>
      <c r="H20" s="29"/>
      <c r="I20" s="6"/>
      <c r="J20" s="6"/>
      <c r="N20" s="103"/>
      <c r="O20" s="104"/>
      <c r="P20" s="104"/>
      <c r="Q20" s="104"/>
      <c r="R20" s="29"/>
    </row>
    <row r="21" spans="1:18" hidden="1" x14ac:dyDescent="0.25">
      <c r="A21" s="119"/>
      <c r="B21" s="536" t="s">
        <v>506</v>
      </c>
      <c r="C21" s="51" t="s">
        <v>1</v>
      </c>
      <c r="D21" s="124"/>
      <c r="E21" s="115"/>
      <c r="F21" s="115"/>
      <c r="G21" s="121"/>
      <c r="K21" s="29" t="str">
        <f>IF(D21="Four Wheeler",K10,K12)</f>
        <v>Two_Wheeler</v>
      </c>
    </row>
    <row r="22" spans="1:18" hidden="1" x14ac:dyDescent="0.25">
      <c r="A22" s="119"/>
      <c r="B22" s="536" t="s">
        <v>507</v>
      </c>
      <c r="C22" s="51" t="s">
        <v>1</v>
      </c>
      <c r="D22" s="124"/>
      <c r="E22" s="115"/>
      <c r="F22" s="115"/>
      <c r="G22" s="121"/>
    </row>
    <row r="23" spans="1:18" hidden="1" x14ac:dyDescent="0.25">
      <c r="A23" s="119"/>
      <c r="B23" s="115"/>
      <c r="C23" s="115"/>
      <c r="D23" s="115"/>
      <c r="E23" s="115"/>
      <c r="F23" s="115"/>
      <c r="G23" s="121"/>
    </row>
    <row r="24" spans="1:18" hidden="1" x14ac:dyDescent="0.25">
      <c r="A24" s="119"/>
      <c r="B24" s="120" t="s">
        <v>265</v>
      </c>
      <c r="C24" s="115"/>
      <c r="D24" s="115"/>
      <c r="E24" s="115"/>
      <c r="F24" s="115"/>
      <c r="G24" s="121"/>
    </row>
    <row r="25" spans="1:18" s="118" customFormat="1" ht="6" hidden="1" customHeight="1" x14ac:dyDescent="0.25">
      <c r="A25" s="41"/>
      <c r="B25" s="6"/>
      <c r="C25" s="46"/>
      <c r="D25" s="6"/>
      <c r="E25" s="6"/>
      <c r="F25" s="115"/>
      <c r="G25" s="114"/>
      <c r="H25" s="29"/>
      <c r="I25" s="6"/>
      <c r="J25" s="6"/>
      <c r="N25" s="103"/>
      <c r="O25" s="104"/>
      <c r="P25" s="104"/>
      <c r="Q25" s="104"/>
      <c r="R25" s="29"/>
    </row>
    <row r="26" spans="1:18" hidden="1" x14ac:dyDescent="0.25">
      <c r="A26" s="119"/>
      <c r="B26" s="125" t="s">
        <v>266</v>
      </c>
      <c r="C26" s="51" t="s">
        <v>1</v>
      </c>
      <c r="D26" s="377"/>
      <c r="E26" s="6"/>
      <c r="F26" s="115"/>
      <c r="G26" s="121"/>
    </row>
    <row r="27" spans="1:18" hidden="1" x14ac:dyDescent="0.25">
      <c r="A27" s="119"/>
      <c r="B27" s="125" t="s">
        <v>267</v>
      </c>
      <c r="C27" s="51" t="s">
        <v>1</v>
      </c>
      <c r="D27" s="377"/>
      <c r="E27" s="6"/>
      <c r="F27" s="115"/>
      <c r="G27" s="121"/>
    </row>
    <row r="28" spans="1:18" hidden="1" x14ac:dyDescent="0.25">
      <c r="A28" s="119"/>
      <c r="B28" s="115"/>
      <c r="C28" s="115"/>
      <c r="D28" s="115"/>
      <c r="E28" s="115"/>
      <c r="F28" s="115"/>
      <c r="G28" s="121"/>
    </row>
    <row r="29" spans="1:18" hidden="1" x14ac:dyDescent="0.25">
      <c r="A29" s="119"/>
      <c r="B29" s="262" t="s">
        <v>268</v>
      </c>
      <c r="C29" s="115"/>
      <c r="D29" s="115"/>
      <c r="E29" s="115"/>
      <c r="F29" s="115"/>
      <c r="G29" s="121"/>
    </row>
    <row r="30" spans="1:18" hidden="1" x14ac:dyDescent="0.25">
      <c r="A30" s="119"/>
      <c r="B30" s="261" t="s">
        <v>269</v>
      </c>
      <c r="C30" s="115"/>
      <c r="D30" s="115"/>
      <c r="E30" s="115"/>
      <c r="F30" s="115"/>
      <c r="G30" s="121"/>
    </row>
    <row r="31" spans="1:18" x14ac:dyDescent="0.25">
      <c r="A31" s="119"/>
      <c r="B31" s="115"/>
      <c r="C31" s="115"/>
      <c r="D31" s="115"/>
      <c r="E31" s="115"/>
      <c r="F31" s="115"/>
      <c r="G31" s="121"/>
    </row>
    <row r="32" spans="1:18" ht="45" customHeight="1" x14ac:dyDescent="0.25">
      <c r="A32" s="119"/>
      <c r="B32" s="125" t="s">
        <v>272</v>
      </c>
      <c r="C32" s="51" t="s">
        <v>1</v>
      </c>
      <c r="D32" s="112"/>
      <c r="E32" s="115"/>
      <c r="F32" s="115"/>
      <c r="G32" s="121"/>
    </row>
    <row r="33" spans="1:18" ht="24.95" customHeight="1" x14ac:dyDescent="0.25">
      <c r="A33" s="119"/>
      <c r="B33" s="125" t="s">
        <v>273</v>
      </c>
      <c r="C33" s="51" t="s">
        <v>1</v>
      </c>
      <c r="D33" s="116" t="str">
        <f>TEXT(IF(DOJ=0," ",DOJ),"dd-mmm-yyyy")</f>
        <v xml:space="preserve"> </v>
      </c>
      <c r="E33" s="115"/>
      <c r="F33" s="115"/>
      <c r="G33" s="121"/>
    </row>
    <row r="34" spans="1:18" ht="45" customHeight="1" x14ac:dyDescent="0.25">
      <c r="A34" s="119"/>
      <c r="B34" s="125" t="s">
        <v>274</v>
      </c>
      <c r="C34" s="51" t="s">
        <v>1</v>
      </c>
      <c r="D34" s="112"/>
      <c r="E34" s="115"/>
      <c r="F34" s="115"/>
      <c r="G34" s="121"/>
    </row>
    <row r="35" spans="1:18" s="118" customFormat="1" ht="6" customHeight="1" x14ac:dyDescent="0.25">
      <c r="A35" s="41"/>
      <c r="B35" s="6"/>
      <c r="C35" s="46"/>
      <c r="D35" s="6"/>
      <c r="E35" s="6"/>
      <c r="F35" s="6"/>
      <c r="G35" s="114"/>
      <c r="H35" s="29"/>
      <c r="I35" s="6"/>
      <c r="J35" s="6"/>
      <c r="N35" s="103"/>
      <c r="O35" s="104"/>
      <c r="P35" s="104"/>
      <c r="Q35" s="104"/>
      <c r="R35" s="29"/>
    </row>
    <row r="36" spans="1:18" x14ac:dyDescent="0.25">
      <c r="A36" s="119"/>
      <c r="B36" s="120" t="s">
        <v>275</v>
      </c>
      <c r="C36" s="115"/>
      <c r="D36" s="115"/>
      <c r="E36" s="115"/>
      <c r="F36" s="115"/>
      <c r="G36" s="121"/>
    </row>
    <row r="37" spans="1:18" s="118" customFormat="1" ht="6" customHeight="1" x14ac:dyDescent="0.25">
      <c r="A37" s="41"/>
      <c r="B37" s="6"/>
      <c r="C37" s="46"/>
      <c r="D37" s="6"/>
      <c r="E37" s="6"/>
      <c r="F37" s="6"/>
      <c r="G37" s="114"/>
      <c r="H37" s="29"/>
      <c r="I37" s="6"/>
      <c r="J37" s="6"/>
      <c r="N37" s="103"/>
      <c r="O37" s="104"/>
      <c r="P37" s="104"/>
      <c r="Q37" s="104"/>
      <c r="R37" s="29"/>
    </row>
    <row r="38" spans="1:18" x14ac:dyDescent="0.25">
      <c r="A38" s="119"/>
      <c r="B38" s="127" t="s">
        <v>276</v>
      </c>
      <c r="C38" s="128"/>
      <c r="D38" s="127" t="s">
        <v>278</v>
      </c>
      <c r="E38" s="128"/>
      <c r="F38" s="129" t="s">
        <v>277</v>
      </c>
      <c r="G38" s="121"/>
    </row>
    <row r="39" spans="1:18" ht="24.95" customHeight="1" x14ac:dyDescent="0.25">
      <c r="A39" s="119"/>
      <c r="B39" s="130" t="s">
        <v>279</v>
      </c>
      <c r="C39" s="135"/>
      <c r="D39" s="112"/>
      <c r="E39" s="136"/>
      <c r="F39" s="112"/>
      <c r="G39" s="121"/>
    </row>
    <row r="40" spans="1:18" ht="24.95" customHeight="1" x14ac:dyDescent="0.25">
      <c r="A40" s="119"/>
      <c r="B40" s="130" t="s">
        <v>280</v>
      </c>
      <c r="C40" s="134"/>
      <c r="D40" s="112"/>
      <c r="E40" s="120"/>
      <c r="F40" s="112"/>
      <c r="G40" s="121"/>
    </row>
    <row r="41" spans="1:18" ht="24.95" customHeight="1" x14ac:dyDescent="0.25">
      <c r="A41" s="119"/>
      <c r="B41" s="130" t="s">
        <v>281</v>
      </c>
      <c r="C41" s="134"/>
      <c r="D41" s="112"/>
      <c r="E41" s="120"/>
      <c r="F41" s="112"/>
      <c r="G41" s="121"/>
    </row>
    <row r="42" spans="1:18" ht="15.75" thickBot="1" x14ac:dyDescent="0.3">
      <c r="A42" s="131"/>
      <c r="B42" s="132"/>
      <c r="C42" s="132"/>
      <c r="D42" s="132"/>
      <c r="E42" s="132"/>
      <c r="F42" s="132"/>
      <c r="G42" s="133"/>
    </row>
    <row r="43" spans="1:18" x14ac:dyDescent="0.25"/>
  </sheetData>
  <sheetProtection selectLockedCells="1"/>
  <mergeCells count="2">
    <mergeCell ref="A2:G6"/>
    <mergeCell ref="K1:Q4"/>
  </mergeCells>
  <dataValidations count="4">
    <dataValidation type="list" allowBlank="1" showInputMessage="1" showErrorMessage="1" sqref="D15" xr:uid="{00000000-0002-0000-0500-000000000000}">
      <formula1>"Bus Pass for ITPL, Own Transport"</formula1>
    </dataValidation>
    <dataValidation type="list" allowBlank="1" showInputMessage="1" showErrorMessage="1" sqref="D21" xr:uid="{00000000-0002-0000-0500-000001000000}">
      <formula1>"Two Wheeler, Four Wheeler"</formula1>
    </dataValidation>
    <dataValidation type="list" allowBlank="1" showInputMessage="1" showErrorMessage="1" sqref="D22" xr:uid="{00000000-0002-0000-0500-000002000000}">
      <formula1>INDIRECT($K$21)</formula1>
    </dataValidation>
    <dataValidation type="date" allowBlank="1" showInputMessage="1" showErrorMessage="1" error="Wrong date format" promptTitle="Date Format" prompt="Date format should be DD/MMM/YY (eg. 22/Mar/81 result in 22-Mar-81)" sqref="F39:F41" xr:uid="{00000000-0002-0000-0500-000003000000}">
      <formula1>1</formula1>
      <formula2>73082</formula2>
    </dataValidation>
  </dataValidations>
  <pageMargins left="0.7" right="0.7" top="0.75" bottom="0.75" header="0.3" footer="0.3"/>
  <pageSetup scale="82" orientation="portrait" r:id="rId1"/>
  <headerFooter>
    <oddHeader xml:space="preserve">&amp;L -   </oddHeader>
    <oddFooter>&amp;CPage &amp;P -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R32"/>
  <sheetViews>
    <sheetView showGridLines="0" showRowColHeaders="0" zoomScale="85" zoomScaleNormal="85" workbookViewId="0">
      <selection activeCell="D29" sqref="D29:F29"/>
    </sheetView>
  </sheetViews>
  <sheetFormatPr defaultColWidth="0" defaultRowHeight="15" zeroHeight="1" x14ac:dyDescent="0.25"/>
  <cols>
    <col min="1" max="1" width="1.42578125" style="29" customWidth="1"/>
    <col min="2" max="2" width="46.28515625" style="29" customWidth="1"/>
    <col min="3" max="3" width="1.140625" style="29" customWidth="1"/>
    <col min="4" max="4" width="34" style="29" bestFit="1" customWidth="1"/>
    <col min="5" max="5" width="1.140625" style="29" customWidth="1"/>
    <col min="6" max="6" width="23.7109375" style="29" customWidth="1"/>
    <col min="7" max="8" width="1.42578125" style="29" customWidth="1"/>
    <col min="9" max="9" width="1.42578125" style="29" hidden="1" customWidth="1"/>
    <col min="10" max="18" width="0" style="29" hidden="1" customWidth="1"/>
    <col min="19" max="16384" width="9.140625" style="29" hidden="1"/>
  </cols>
  <sheetData>
    <row r="1" spans="1:18" x14ac:dyDescent="0.25">
      <c r="A1" s="529"/>
      <c r="B1" s="117"/>
      <c r="C1" s="117"/>
      <c r="D1" s="117"/>
      <c r="E1" s="117"/>
      <c r="F1" s="117"/>
      <c r="G1" s="60"/>
    </row>
    <row r="2" spans="1:18" ht="15" customHeight="1" x14ac:dyDescent="0.25">
      <c r="A2" s="786" t="s">
        <v>282</v>
      </c>
      <c r="B2" s="787"/>
      <c r="C2" s="787"/>
      <c r="D2" s="787"/>
      <c r="E2" s="787"/>
      <c r="F2" s="787"/>
      <c r="G2" s="788"/>
    </row>
    <row r="3" spans="1:18" ht="15" customHeight="1" x14ac:dyDescent="0.25">
      <c r="A3" s="786"/>
      <c r="B3" s="787"/>
      <c r="C3" s="787"/>
      <c r="D3" s="787"/>
      <c r="E3" s="787"/>
      <c r="F3" s="787"/>
      <c r="G3" s="788"/>
    </row>
    <row r="4" spans="1:18" ht="15" customHeight="1" x14ac:dyDescent="0.25">
      <c r="A4" s="786"/>
      <c r="B4" s="787"/>
      <c r="C4" s="787"/>
      <c r="D4" s="787"/>
      <c r="E4" s="787"/>
      <c r="F4" s="787"/>
      <c r="G4" s="788"/>
    </row>
    <row r="5" spans="1:18" ht="15" customHeight="1" x14ac:dyDescent="0.25">
      <c r="A5" s="786"/>
      <c r="B5" s="787"/>
      <c r="C5" s="787"/>
      <c r="D5" s="787"/>
      <c r="E5" s="787"/>
      <c r="F5" s="787"/>
      <c r="G5" s="788"/>
    </row>
    <row r="6" spans="1:18" ht="15.75" customHeight="1" thickBot="1" x14ac:dyDescent="0.3">
      <c r="A6" s="789"/>
      <c r="B6" s="790"/>
      <c r="C6" s="790"/>
      <c r="D6" s="790"/>
      <c r="E6" s="790"/>
      <c r="F6" s="790"/>
      <c r="G6" s="791"/>
    </row>
    <row r="7" spans="1:18" s="118" customFormat="1" ht="6" customHeight="1" x14ac:dyDescent="0.25">
      <c r="A7" s="41"/>
      <c r="B7" s="6"/>
      <c r="C7" s="46"/>
      <c r="D7" s="6"/>
      <c r="E7" s="6"/>
      <c r="F7" s="6"/>
      <c r="G7" s="114"/>
      <c r="H7" s="29"/>
      <c r="I7" s="6"/>
      <c r="J7" s="6"/>
      <c r="N7" s="103"/>
      <c r="O7" s="104"/>
      <c r="P7" s="104"/>
      <c r="Q7" s="104"/>
      <c r="R7" s="29"/>
    </row>
    <row r="8" spans="1:18" x14ac:dyDescent="0.25">
      <c r="A8" s="119"/>
      <c r="B8" s="120" t="s">
        <v>263</v>
      </c>
      <c r="C8" s="46"/>
      <c r="D8" s="115"/>
      <c r="E8" s="115"/>
      <c r="F8" s="115"/>
      <c r="G8" s="121"/>
    </row>
    <row r="9" spans="1:18" s="118" customFormat="1" ht="6" customHeight="1" x14ac:dyDescent="0.25">
      <c r="A9" s="41"/>
      <c r="B9" s="6"/>
      <c r="C9" s="46"/>
      <c r="D9" s="6"/>
      <c r="E9" s="6"/>
      <c r="F9" s="6"/>
      <c r="G9" s="114"/>
      <c r="H9" s="29"/>
      <c r="I9" s="6"/>
      <c r="J9" s="6"/>
      <c r="N9" s="103"/>
      <c r="O9" s="104"/>
      <c r="P9" s="104"/>
      <c r="Q9" s="104"/>
      <c r="R9" s="29"/>
    </row>
    <row r="10" spans="1:18" x14ac:dyDescent="0.25">
      <c r="A10" s="41"/>
      <c r="B10" s="122" t="s">
        <v>260</v>
      </c>
      <c r="C10" s="51" t="s">
        <v>1</v>
      </c>
      <c r="D10" s="116" t="str">
        <f>IF(E_Name="","",E_Name)</f>
        <v xml:space="preserve">  </v>
      </c>
      <c r="E10" s="115"/>
      <c r="F10" s="123" t="s">
        <v>4</v>
      </c>
      <c r="G10" s="45"/>
    </row>
    <row r="11" spans="1:18" x14ac:dyDescent="0.25">
      <c r="A11" s="41"/>
      <c r="B11" s="113" t="s">
        <v>283</v>
      </c>
      <c r="C11" s="51" t="s">
        <v>1</v>
      </c>
      <c r="D11" s="116" t="str">
        <f>IF('Personal Information'!D43="","",'Personal Information'!D43)</f>
        <v/>
      </c>
      <c r="E11" s="115"/>
      <c r="F11" s="13" t="s">
        <v>5</v>
      </c>
      <c r="G11" s="45"/>
    </row>
    <row r="12" spans="1:18" x14ac:dyDescent="0.25">
      <c r="A12" s="41"/>
      <c r="B12" s="113" t="s">
        <v>19</v>
      </c>
      <c r="C12" s="51" t="s">
        <v>1</v>
      </c>
      <c r="D12" s="116" t="str">
        <f>IF('Personal Information'!D44="","",'Personal Information'!D44)</f>
        <v/>
      </c>
      <c r="E12" s="115"/>
      <c r="F12" s="52" t="s">
        <v>6</v>
      </c>
      <c r="G12" s="45"/>
    </row>
    <row r="13" spans="1:18" x14ac:dyDescent="0.25">
      <c r="A13" s="41"/>
      <c r="B13" s="113" t="s">
        <v>19</v>
      </c>
      <c r="C13" s="51" t="s">
        <v>1</v>
      </c>
      <c r="D13" s="116" t="str">
        <f>IF('Personal Information'!D45="","",'Personal Information'!D45)</f>
        <v/>
      </c>
      <c r="E13" s="115"/>
      <c r="F13" s="14" t="s">
        <v>7</v>
      </c>
      <c r="G13" s="45"/>
    </row>
    <row r="14" spans="1:18" x14ac:dyDescent="0.25">
      <c r="A14" s="41"/>
      <c r="B14" s="113" t="s">
        <v>284</v>
      </c>
      <c r="C14" s="51" t="s">
        <v>1</v>
      </c>
      <c r="D14" s="116" t="str">
        <f>IF('Personal Information'!D46="","",'Personal Information'!D46)</f>
        <v/>
      </c>
      <c r="E14" s="115"/>
      <c r="F14" s="115"/>
      <c r="G14" s="45"/>
    </row>
    <row r="15" spans="1:18" x14ac:dyDescent="0.25">
      <c r="A15" s="41"/>
      <c r="B15" s="113" t="s">
        <v>285</v>
      </c>
      <c r="C15" s="51" t="s">
        <v>1</v>
      </c>
      <c r="D15" s="116" t="str">
        <f>IF('Personal Information'!D47="","",'Personal Information'!D47)</f>
        <v/>
      </c>
      <c r="E15" s="115"/>
      <c r="F15" s="115"/>
      <c r="G15" s="45"/>
    </row>
    <row r="16" spans="1:18" x14ac:dyDescent="0.25">
      <c r="A16" s="41"/>
      <c r="B16" s="113" t="s">
        <v>286</v>
      </c>
      <c r="C16" s="51" t="s">
        <v>1</v>
      </c>
      <c r="D16" s="116" t="str">
        <f>IF('Personal Information'!D48="","",'Personal Information'!D48)</f>
        <v/>
      </c>
      <c r="E16" s="115"/>
      <c r="F16" s="115"/>
      <c r="G16" s="45"/>
    </row>
    <row r="17" spans="1:7" x14ac:dyDescent="0.25">
      <c r="A17" s="41"/>
      <c r="B17" s="122" t="s">
        <v>254</v>
      </c>
      <c r="C17" s="51" t="s">
        <v>1</v>
      </c>
      <c r="D17" s="116" t="str">
        <f>IF('Personal Information'!D49="","",'Personal Information'!D49)</f>
        <v/>
      </c>
      <c r="E17" s="115"/>
      <c r="F17" s="115"/>
      <c r="G17" s="45"/>
    </row>
    <row r="18" spans="1:7" x14ac:dyDescent="0.25">
      <c r="A18" s="41"/>
      <c r="B18" s="113" t="s">
        <v>287</v>
      </c>
      <c r="C18" s="51" t="s">
        <v>1</v>
      </c>
      <c r="D18" s="116" t="str">
        <f>IF('Personal Information'!D50="","",'Personal Information'!D50)</f>
        <v/>
      </c>
      <c r="E18" s="115"/>
      <c r="F18" s="115"/>
      <c r="G18" s="45"/>
    </row>
    <row r="19" spans="1:7" x14ac:dyDescent="0.25">
      <c r="A19" s="41"/>
      <c r="B19" s="113" t="s">
        <v>25</v>
      </c>
      <c r="C19" s="51" t="s">
        <v>1</v>
      </c>
      <c r="D19" s="116" t="str">
        <f>IF('Personal Information'!D27="","",'Personal Information'!D27)</f>
        <v/>
      </c>
      <c r="E19" s="115"/>
      <c r="F19" s="115"/>
      <c r="G19" s="45"/>
    </row>
    <row r="20" spans="1:7" x14ac:dyDescent="0.25">
      <c r="A20" s="119"/>
      <c r="B20" s="115"/>
      <c r="C20" s="115"/>
      <c r="D20" s="115"/>
      <c r="E20" s="115"/>
      <c r="F20" s="115"/>
      <c r="G20" s="121"/>
    </row>
    <row r="21" spans="1:7" x14ac:dyDescent="0.25">
      <c r="A21" s="119"/>
      <c r="B21" s="115" t="s">
        <v>288</v>
      </c>
      <c r="C21" s="115"/>
      <c r="D21" s="115"/>
      <c r="E21" s="115"/>
      <c r="F21" s="115"/>
      <c r="G21" s="121"/>
    </row>
    <row r="22" spans="1:7" x14ac:dyDescent="0.25">
      <c r="A22" s="119"/>
      <c r="B22" s="115" t="s">
        <v>289</v>
      </c>
      <c r="C22" s="115"/>
      <c r="D22" s="115"/>
      <c r="E22" s="115"/>
      <c r="F22" s="115"/>
      <c r="G22" s="121"/>
    </row>
    <row r="23" spans="1:7" x14ac:dyDescent="0.25">
      <c r="A23" s="119"/>
      <c r="B23" s="115" t="s">
        <v>290</v>
      </c>
      <c r="C23" s="115"/>
      <c r="D23" s="115"/>
      <c r="E23" s="115"/>
      <c r="F23" s="115"/>
      <c r="G23" s="121"/>
    </row>
    <row r="24" spans="1:7" x14ac:dyDescent="0.25">
      <c r="A24" s="119"/>
      <c r="B24" s="115" t="s">
        <v>791</v>
      </c>
      <c r="C24" s="115"/>
      <c r="D24" s="115"/>
      <c r="E24" s="115"/>
      <c r="F24" s="115"/>
      <c r="G24" s="121"/>
    </row>
    <row r="25" spans="1:7" x14ac:dyDescent="0.25">
      <c r="A25" s="119"/>
      <c r="B25" s="115"/>
      <c r="C25" s="115"/>
      <c r="D25" s="115"/>
      <c r="E25" s="115"/>
      <c r="F25" s="115"/>
      <c r="G25" s="121"/>
    </row>
    <row r="26" spans="1:7" x14ac:dyDescent="0.25">
      <c r="A26" s="119"/>
      <c r="B26" s="115" t="str">
        <f>"This is to confirm that I have reported and joined duty with effect from  " &amp; TEXT(IF('Personal Information'!D18=0," ",'Personal Information'!D18),"dd-mmm-yyyy")</f>
        <v xml:space="preserve">This is to confirm that I have reported and joined duty with effect from   </v>
      </c>
      <c r="C26" s="115"/>
      <c r="D26" s="115"/>
      <c r="E26" s="115"/>
      <c r="F26" s="115"/>
      <c r="G26" s="121"/>
    </row>
    <row r="27" spans="1:7" x14ac:dyDescent="0.25">
      <c r="A27" s="119"/>
      <c r="B27" s="115"/>
      <c r="C27" s="115"/>
      <c r="D27" s="115"/>
      <c r="E27" s="115"/>
      <c r="F27" s="115"/>
      <c r="G27" s="121"/>
    </row>
    <row r="28" spans="1:7" x14ac:dyDescent="0.25">
      <c r="A28" s="119"/>
      <c r="B28" s="115"/>
      <c r="C28" s="115"/>
      <c r="D28" s="115"/>
      <c r="E28" s="115"/>
      <c r="F28" s="115"/>
      <c r="G28" s="121"/>
    </row>
    <row r="29" spans="1:7" ht="45" customHeight="1" x14ac:dyDescent="0.25">
      <c r="A29" s="119"/>
      <c r="B29" s="125" t="s">
        <v>272</v>
      </c>
      <c r="C29" s="51" t="s">
        <v>1</v>
      </c>
      <c r="D29" s="795"/>
      <c r="E29" s="796"/>
      <c r="F29" s="797"/>
      <c r="G29" s="121"/>
    </row>
    <row r="30" spans="1:7" ht="24.95" customHeight="1" x14ac:dyDescent="0.25">
      <c r="A30" s="119"/>
      <c r="B30" s="125" t="s">
        <v>273</v>
      </c>
      <c r="C30" s="51" t="s">
        <v>1</v>
      </c>
      <c r="D30" s="792" t="str">
        <f>TEXT(IF(DOJ=0," ",DOJ),"dd-mmm-yyyy")</f>
        <v xml:space="preserve"> </v>
      </c>
      <c r="E30" s="793"/>
      <c r="F30" s="794"/>
      <c r="G30" s="121"/>
    </row>
    <row r="31" spans="1:7" ht="15.75" thickBot="1" x14ac:dyDescent="0.3">
      <c r="A31" s="131"/>
      <c r="B31" s="132"/>
      <c r="C31" s="132"/>
      <c r="D31" s="132"/>
      <c r="E31" s="132"/>
      <c r="F31" s="132"/>
      <c r="G31" s="530"/>
    </row>
    <row r="32" spans="1:7" x14ac:dyDescent="0.25"/>
  </sheetData>
  <sheetProtection algorithmName="SHA-512" hashValue="f53xxbD2e/9YElS8mL+MxtX20vqoPza2jpQQ1KkfzqOMD/OSyNLXLVy5hWgYv9e3e9VLxzQznlKk1IZVLeXwtg==" saltValue="HKITr5N92vj02d0wRFY5lg==" spinCount="100000" sheet="1" selectLockedCells="1"/>
  <mergeCells count="3">
    <mergeCell ref="A2:G6"/>
    <mergeCell ref="D30:F30"/>
    <mergeCell ref="D29:F29"/>
  </mergeCells>
  <pageMargins left="0.7" right="0.7" top="0.75" bottom="0.75" header="0.3" footer="0.3"/>
  <pageSetup scale="82" orientation="portrait" r:id="rId1"/>
  <headerFooter>
    <oddHeader xml:space="preserve">&amp;L -   </oddHeader>
    <oddFooter>&amp;CPage &amp;P -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R32"/>
  <sheetViews>
    <sheetView showGridLines="0" showRowColHeaders="0" topLeftCell="A4" zoomScaleNormal="100" workbookViewId="0"/>
  </sheetViews>
  <sheetFormatPr defaultColWidth="0" defaultRowHeight="15" zeroHeight="1" x14ac:dyDescent="0.25"/>
  <cols>
    <col min="1" max="1" width="1.42578125" style="364" customWidth="1"/>
    <col min="2" max="3" width="19.7109375" style="364" customWidth="1"/>
    <col min="4" max="4" width="34" style="364" bestFit="1" customWidth="1"/>
    <col min="5" max="5" width="1.140625" style="364" customWidth="1"/>
    <col min="6" max="6" width="23.7109375" style="364" customWidth="1"/>
    <col min="7" max="8" width="1.42578125" style="364" customWidth="1"/>
    <col min="9" max="9" width="9.140625" style="364" hidden="1" customWidth="1"/>
    <col min="10" max="18" width="0" style="364" hidden="1" customWidth="1"/>
    <col min="19" max="16384" width="9.140625" style="364" hidden="1"/>
  </cols>
  <sheetData>
    <row r="1" spans="1:16" x14ac:dyDescent="0.25">
      <c r="A1" s="529"/>
      <c r="B1" s="117"/>
      <c r="C1" s="117"/>
      <c r="D1" s="117"/>
      <c r="E1" s="117"/>
      <c r="F1" s="117"/>
      <c r="G1" s="60"/>
    </row>
    <row r="2" spans="1:16" ht="15" customHeight="1" x14ac:dyDescent="0.25">
      <c r="A2" s="786"/>
      <c r="B2" s="787"/>
      <c r="C2" s="787"/>
      <c r="D2" s="787"/>
      <c r="E2" s="787"/>
      <c r="F2" s="787"/>
      <c r="G2" s="788"/>
    </row>
    <row r="3" spans="1:16" ht="15" customHeight="1" x14ac:dyDescent="0.25">
      <c r="A3" s="786"/>
      <c r="B3" s="787"/>
      <c r="C3" s="787"/>
      <c r="D3" s="787"/>
      <c r="E3" s="787"/>
      <c r="F3" s="787"/>
      <c r="G3" s="788"/>
    </row>
    <row r="4" spans="1:16" ht="15" customHeight="1" x14ac:dyDescent="0.25">
      <c r="A4" s="786"/>
      <c r="B4" s="787"/>
      <c r="C4" s="787"/>
      <c r="D4" s="787"/>
      <c r="E4" s="787"/>
      <c r="F4" s="787"/>
      <c r="G4" s="788"/>
    </row>
    <row r="5" spans="1:16" ht="15" customHeight="1" x14ac:dyDescent="0.25">
      <c r="A5" s="786"/>
      <c r="B5" s="787"/>
      <c r="C5" s="787"/>
      <c r="D5" s="787"/>
      <c r="E5" s="787"/>
      <c r="F5" s="787"/>
      <c r="G5" s="788"/>
    </row>
    <row r="6" spans="1:16" ht="15.75" customHeight="1" x14ac:dyDescent="0.25">
      <c r="A6" s="786"/>
      <c r="B6" s="787"/>
      <c r="C6" s="787"/>
      <c r="D6" s="787"/>
      <c r="E6" s="787"/>
      <c r="F6" s="787"/>
      <c r="G6" s="788"/>
    </row>
    <row r="7" spans="1:16" s="118" customFormat="1" ht="6" customHeight="1" x14ac:dyDescent="0.25">
      <c r="A7" s="41"/>
      <c r="B7" s="6"/>
      <c r="C7" s="46"/>
      <c r="D7" s="6"/>
      <c r="E7" s="6"/>
      <c r="F7" s="6"/>
      <c r="G7" s="114"/>
      <c r="H7" s="364"/>
      <c r="L7" s="103"/>
      <c r="M7" s="104"/>
      <c r="N7" s="104"/>
      <c r="O7" s="104"/>
      <c r="P7" s="364"/>
    </row>
    <row r="8" spans="1:16" x14ac:dyDescent="0.25">
      <c r="A8" s="365"/>
      <c r="B8" s="366" t="s">
        <v>288</v>
      </c>
      <c r="C8" s="367"/>
      <c r="D8" s="367"/>
      <c r="E8" s="367"/>
      <c r="F8" s="367"/>
      <c r="G8" s="368"/>
    </row>
    <row r="9" spans="1:16" x14ac:dyDescent="0.25">
      <c r="A9" s="365"/>
      <c r="B9" s="367"/>
      <c r="C9" s="367"/>
      <c r="D9" s="367"/>
      <c r="E9" s="367"/>
      <c r="F9" s="367"/>
      <c r="G9" s="368"/>
    </row>
    <row r="10" spans="1:16" x14ac:dyDescent="0.25">
      <c r="A10" s="365"/>
      <c r="B10" s="367" t="s">
        <v>477</v>
      </c>
      <c r="C10" s="367"/>
      <c r="D10" s="367"/>
      <c r="E10" s="367"/>
      <c r="F10" s="367"/>
      <c r="G10" s="368"/>
    </row>
    <row r="11" spans="1:16" x14ac:dyDescent="0.25">
      <c r="A11" s="365"/>
      <c r="B11" s="369" t="s">
        <v>478</v>
      </c>
      <c r="C11" s="367"/>
      <c r="D11" s="367"/>
      <c r="E11" s="367"/>
      <c r="F11" s="367"/>
      <c r="G11" s="368"/>
    </row>
    <row r="12" spans="1:16" x14ac:dyDescent="0.25">
      <c r="A12" s="365"/>
      <c r="B12" s="367" t="s">
        <v>479</v>
      </c>
      <c r="C12" s="367"/>
      <c r="D12" s="367"/>
      <c r="E12" s="367"/>
      <c r="F12" s="367"/>
      <c r="G12" s="368"/>
    </row>
    <row r="13" spans="1:16" x14ac:dyDescent="0.25">
      <c r="A13" s="365"/>
      <c r="B13" s="367" t="s">
        <v>480</v>
      </c>
      <c r="C13" s="367"/>
      <c r="D13" s="367"/>
      <c r="E13" s="367"/>
      <c r="F13" s="367"/>
      <c r="G13" s="368"/>
    </row>
    <row r="14" spans="1:16" x14ac:dyDescent="0.25">
      <c r="A14" s="365"/>
      <c r="B14" s="367" t="s">
        <v>481</v>
      </c>
      <c r="C14" s="367"/>
      <c r="D14" s="367"/>
      <c r="E14" s="367"/>
      <c r="F14" s="367"/>
      <c r="G14" s="368"/>
    </row>
    <row r="15" spans="1:16" x14ac:dyDescent="0.25">
      <c r="A15" s="365"/>
      <c r="B15" s="367" t="s">
        <v>291</v>
      </c>
      <c r="C15" s="367"/>
      <c r="D15" s="367"/>
      <c r="E15" s="367"/>
      <c r="F15" s="367"/>
      <c r="G15" s="368"/>
    </row>
    <row r="16" spans="1:16" x14ac:dyDescent="0.25">
      <c r="A16" s="365"/>
      <c r="B16" s="367"/>
      <c r="C16" s="367"/>
      <c r="D16" s="367"/>
      <c r="E16" s="367"/>
      <c r="F16" s="367"/>
      <c r="G16" s="368"/>
    </row>
    <row r="17" spans="1:7" x14ac:dyDescent="0.25">
      <c r="A17" s="365"/>
      <c r="B17" s="370" t="s">
        <v>482</v>
      </c>
      <c r="C17" s="367"/>
      <c r="D17" s="367"/>
      <c r="E17" s="367"/>
      <c r="F17" s="367"/>
      <c r="G17" s="368"/>
    </row>
    <row r="18" spans="1:7" x14ac:dyDescent="0.25">
      <c r="A18" s="365"/>
      <c r="B18" s="367"/>
      <c r="C18" s="367"/>
      <c r="D18" s="367"/>
      <c r="E18" s="367"/>
      <c r="F18" s="367"/>
      <c r="G18" s="368"/>
    </row>
    <row r="19" spans="1:7" ht="117" customHeight="1" x14ac:dyDescent="0.25">
      <c r="A19" s="365"/>
      <c r="B19" s="798" t="s">
        <v>486</v>
      </c>
      <c r="C19" s="799"/>
      <c r="D19" s="799"/>
      <c r="E19" s="799"/>
      <c r="F19" s="799"/>
      <c r="G19" s="368"/>
    </row>
    <row r="20" spans="1:7" x14ac:dyDescent="0.25">
      <c r="A20" s="365"/>
      <c r="B20" s="367"/>
      <c r="C20" s="367"/>
      <c r="D20" s="367"/>
      <c r="E20" s="367"/>
      <c r="F20" s="367"/>
      <c r="G20" s="368"/>
    </row>
    <row r="21" spans="1:7" x14ac:dyDescent="0.25">
      <c r="A21" s="365"/>
      <c r="B21" s="367" t="s">
        <v>483</v>
      </c>
      <c r="C21" s="367"/>
      <c r="D21" s="367"/>
      <c r="E21" s="367"/>
      <c r="F21" s="367"/>
      <c r="G21" s="368"/>
    </row>
    <row r="22" spans="1:7" x14ac:dyDescent="0.25">
      <c r="A22" s="365"/>
      <c r="B22" s="367"/>
      <c r="C22" s="367"/>
      <c r="D22" s="367"/>
      <c r="E22" s="367"/>
      <c r="F22" s="367"/>
      <c r="G22" s="368"/>
    </row>
    <row r="23" spans="1:7" x14ac:dyDescent="0.25">
      <c r="A23" s="365"/>
      <c r="B23" s="367"/>
      <c r="C23" s="367"/>
      <c r="D23" s="367"/>
      <c r="E23" s="367"/>
      <c r="F23" s="367"/>
      <c r="G23" s="368"/>
    </row>
    <row r="24" spans="1:7" x14ac:dyDescent="0.25">
      <c r="A24" s="365"/>
      <c r="B24" s="367"/>
      <c r="C24" s="367"/>
      <c r="D24" s="367"/>
      <c r="E24" s="367"/>
      <c r="F24" s="367"/>
      <c r="G24" s="368"/>
    </row>
    <row r="25" spans="1:7" ht="30" customHeight="1" x14ac:dyDescent="0.25">
      <c r="A25" s="365"/>
      <c r="B25" s="370" t="s">
        <v>271</v>
      </c>
      <c r="C25" s="378"/>
      <c r="D25" s="371"/>
      <c r="E25" s="367"/>
      <c r="F25" s="367"/>
      <c r="G25" s="368"/>
    </row>
    <row r="26" spans="1:7" ht="30" customHeight="1" x14ac:dyDescent="0.25">
      <c r="A26" s="365"/>
      <c r="B26" s="370" t="s">
        <v>484</v>
      </c>
      <c r="C26" s="372" t="str">
        <f>IF(E_Name="","",E_Name)</f>
        <v xml:space="preserve">  </v>
      </c>
      <c r="D26" s="373"/>
      <c r="E26" s="367"/>
      <c r="F26" s="367"/>
      <c r="G26" s="368"/>
    </row>
    <row r="27" spans="1:7" ht="30" customHeight="1" x14ac:dyDescent="0.25">
      <c r="A27" s="365"/>
      <c r="B27" s="370" t="s">
        <v>485</v>
      </c>
      <c r="C27" s="372" t="str">
        <f>IF(Empl_No="","",Empl_No)</f>
        <v>NA</v>
      </c>
      <c r="D27" s="367"/>
      <c r="E27" s="367"/>
      <c r="F27" s="367"/>
      <c r="G27" s="368"/>
    </row>
    <row r="28" spans="1:7" ht="30" customHeight="1" x14ac:dyDescent="0.25">
      <c r="A28" s="365"/>
      <c r="B28" s="367" t="s">
        <v>321</v>
      </c>
      <c r="C28" s="372" t="str">
        <f>TEXT(IF(DOJ=0," ",DOJ),"dd-mmm-yyyy")</f>
        <v xml:space="preserve"> </v>
      </c>
      <c r="D28" s="367"/>
      <c r="E28" s="367"/>
      <c r="F28" s="367"/>
      <c r="G28" s="368"/>
    </row>
    <row r="29" spans="1:7" x14ac:dyDescent="0.25">
      <c r="A29" s="365"/>
      <c r="B29" s="367"/>
      <c r="C29" s="367"/>
      <c r="D29" s="367"/>
      <c r="E29" s="367"/>
      <c r="F29" s="367"/>
      <c r="G29" s="368"/>
    </row>
    <row r="30" spans="1:7" x14ac:dyDescent="0.25">
      <c r="A30" s="365"/>
      <c r="B30" s="367"/>
      <c r="C30" s="367"/>
      <c r="D30" s="367"/>
      <c r="E30" s="367"/>
      <c r="F30" s="367"/>
      <c r="G30" s="368"/>
    </row>
    <row r="31" spans="1:7" ht="15.75" thickBot="1" x14ac:dyDescent="0.3">
      <c r="A31" s="374"/>
      <c r="B31" s="375"/>
      <c r="C31" s="375"/>
      <c r="D31" s="375"/>
      <c r="E31" s="375"/>
      <c r="F31" s="375"/>
      <c r="G31" s="376"/>
    </row>
    <row r="32" spans="1:7" x14ac:dyDescent="0.25"/>
  </sheetData>
  <sheetProtection password="CA99" sheet="1" objects="1" scenarios="1" selectLockedCells="1"/>
  <mergeCells count="2">
    <mergeCell ref="A2:G6"/>
    <mergeCell ref="B19:F19"/>
  </mergeCells>
  <pageMargins left="0.7" right="0.7" top="0.75" bottom="0.75" header="0.3" footer="0.3"/>
  <pageSetup scale="89" orientation="portrait" r:id="rId1"/>
  <headerFooter>
    <oddHeader xml:space="preserve">&amp;L -   </oddHeader>
    <oddFooter>&amp;CPage &amp;P -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WVS77"/>
  <sheetViews>
    <sheetView showGridLines="0" showRowColHeaders="0" zoomScale="85" zoomScaleNormal="85" zoomScaleSheetLayoutView="85" workbookViewId="0">
      <selection activeCell="H25" sqref="H25:J25"/>
    </sheetView>
  </sheetViews>
  <sheetFormatPr defaultColWidth="0" defaultRowHeight="15.75" zeroHeight="1" x14ac:dyDescent="0.25"/>
  <cols>
    <col min="1" max="1" width="1.140625" style="379" customWidth="1"/>
    <col min="2" max="2" width="8.42578125" style="405" customWidth="1"/>
    <col min="3" max="3" width="19" style="405" customWidth="1"/>
    <col min="4" max="4" width="15" style="405" customWidth="1"/>
    <col min="5" max="5" width="29.85546875" style="405" customWidth="1"/>
    <col min="6" max="6" width="7" style="405" customWidth="1"/>
    <col min="7" max="7" width="7.85546875" style="405" customWidth="1"/>
    <col min="8" max="8" width="19" style="405" customWidth="1"/>
    <col min="9" max="9" width="13.7109375" style="405" customWidth="1"/>
    <col min="10" max="10" width="29.85546875" style="405" customWidth="1"/>
    <col min="11" max="11" width="7.140625" style="406" customWidth="1"/>
    <col min="12" max="12" width="1.140625" style="379" customWidth="1"/>
    <col min="13" max="13" width="1.140625" style="405" customWidth="1"/>
    <col min="14" max="19" width="9.140625" style="405" hidden="1"/>
    <col min="20" max="20" width="18.7109375" style="405" hidden="1"/>
    <col min="21" max="21" width="9.5703125" style="405" hidden="1"/>
    <col min="22" max="256" width="9.140625" style="405" hidden="1"/>
    <col min="257" max="257" width="8.42578125" style="405" hidden="1"/>
    <col min="258" max="258" width="12.5703125" style="405" hidden="1"/>
    <col min="259" max="259" width="5" style="405" hidden="1"/>
    <col min="260" max="260" width="2.140625" style="405" hidden="1"/>
    <col min="261" max="261" width="12.7109375" style="405" hidden="1"/>
    <col min="262" max="262" width="12.28515625" style="405" hidden="1"/>
    <col min="263" max="263" width="7.140625" style="405" hidden="1"/>
    <col min="264" max="264" width="19" style="405" hidden="1"/>
    <col min="265" max="265" width="9.140625" style="405" hidden="1"/>
    <col min="266" max="266" width="29.85546875" style="405" hidden="1"/>
    <col min="267" max="267" width="3.5703125" style="405" hidden="1"/>
    <col min="268" max="512" width="9.140625" style="405" hidden="1"/>
    <col min="513" max="513" width="8.42578125" style="405" hidden="1"/>
    <col min="514" max="514" width="12.5703125" style="405" hidden="1"/>
    <col min="515" max="515" width="5" style="405" hidden="1"/>
    <col min="516" max="516" width="2.140625" style="405" hidden="1"/>
    <col min="517" max="517" width="12.7109375" style="405" hidden="1"/>
    <col min="518" max="518" width="12.28515625" style="405" hidden="1"/>
    <col min="519" max="519" width="7.140625" style="405" hidden="1"/>
    <col min="520" max="520" width="19" style="405" hidden="1"/>
    <col min="521" max="521" width="9.140625" style="405" hidden="1"/>
    <col min="522" max="522" width="29.85546875" style="405" hidden="1"/>
    <col min="523" max="523" width="3.5703125" style="405" hidden="1"/>
    <col min="524" max="768" width="9.140625" style="405" hidden="1"/>
    <col min="769" max="769" width="8.42578125" style="405" hidden="1"/>
    <col min="770" max="770" width="12.5703125" style="405" hidden="1"/>
    <col min="771" max="771" width="5" style="405" hidden="1"/>
    <col min="772" max="772" width="2.140625" style="405" hidden="1"/>
    <col min="773" max="773" width="12.7109375" style="405" hidden="1"/>
    <col min="774" max="774" width="12.28515625" style="405" hidden="1"/>
    <col min="775" max="775" width="7.140625" style="405" hidden="1"/>
    <col min="776" max="776" width="19" style="405" hidden="1"/>
    <col min="777" max="777" width="9.140625" style="405" hidden="1"/>
    <col min="778" max="778" width="29.85546875" style="405" hidden="1"/>
    <col min="779" max="779" width="3.5703125" style="405" hidden="1"/>
    <col min="780" max="1024" width="9.140625" style="405" hidden="1"/>
    <col min="1025" max="1025" width="8.42578125" style="405" hidden="1"/>
    <col min="1026" max="1026" width="12.5703125" style="405" hidden="1"/>
    <col min="1027" max="1027" width="5" style="405" hidden="1"/>
    <col min="1028" max="1028" width="2.140625" style="405" hidden="1"/>
    <col min="1029" max="1029" width="12.7109375" style="405" hidden="1"/>
    <col min="1030" max="1030" width="12.28515625" style="405" hidden="1"/>
    <col min="1031" max="1031" width="7.140625" style="405" hidden="1"/>
    <col min="1032" max="1032" width="19" style="405" hidden="1"/>
    <col min="1033" max="1033" width="9.140625" style="405" hidden="1"/>
    <col min="1034" max="1034" width="29.85546875" style="405" hidden="1"/>
    <col min="1035" max="1035" width="3.5703125" style="405" hidden="1"/>
    <col min="1036" max="1280" width="9.140625" style="405" hidden="1"/>
    <col min="1281" max="1281" width="8.42578125" style="405" hidden="1"/>
    <col min="1282" max="1282" width="12.5703125" style="405" hidden="1"/>
    <col min="1283" max="1283" width="5" style="405" hidden="1"/>
    <col min="1284" max="1284" width="2.140625" style="405" hidden="1"/>
    <col min="1285" max="1285" width="12.7109375" style="405" hidden="1"/>
    <col min="1286" max="1286" width="12.28515625" style="405" hidden="1"/>
    <col min="1287" max="1287" width="7.140625" style="405" hidden="1"/>
    <col min="1288" max="1288" width="19" style="405" hidden="1"/>
    <col min="1289" max="1289" width="9.140625" style="405" hidden="1"/>
    <col min="1290" max="1290" width="29.85546875" style="405" hidden="1"/>
    <col min="1291" max="1291" width="3.5703125" style="405" hidden="1"/>
    <col min="1292" max="1536" width="9.140625" style="405" hidden="1"/>
    <col min="1537" max="1537" width="8.42578125" style="405" hidden="1"/>
    <col min="1538" max="1538" width="12.5703125" style="405" hidden="1"/>
    <col min="1539" max="1539" width="5" style="405" hidden="1"/>
    <col min="1540" max="1540" width="2.140625" style="405" hidden="1"/>
    <col min="1541" max="1541" width="12.7109375" style="405" hidden="1"/>
    <col min="1542" max="1542" width="12.28515625" style="405" hidden="1"/>
    <col min="1543" max="1543" width="7.140625" style="405" hidden="1"/>
    <col min="1544" max="1544" width="19" style="405" hidden="1"/>
    <col min="1545" max="1545" width="9.140625" style="405" hidden="1"/>
    <col min="1546" max="1546" width="29.85546875" style="405" hidden="1"/>
    <col min="1547" max="1547" width="3.5703125" style="405" hidden="1"/>
    <col min="1548" max="1792" width="9.140625" style="405" hidden="1"/>
    <col min="1793" max="1793" width="8.42578125" style="405" hidden="1"/>
    <col min="1794" max="1794" width="12.5703125" style="405" hidden="1"/>
    <col min="1795" max="1795" width="5" style="405" hidden="1"/>
    <col min="1796" max="1796" width="2.140625" style="405" hidden="1"/>
    <col min="1797" max="1797" width="12.7109375" style="405" hidden="1"/>
    <col min="1798" max="1798" width="12.28515625" style="405" hidden="1"/>
    <col min="1799" max="1799" width="7.140625" style="405" hidden="1"/>
    <col min="1800" max="1800" width="19" style="405" hidden="1"/>
    <col min="1801" max="1801" width="9.140625" style="405" hidden="1"/>
    <col min="1802" max="1802" width="29.85546875" style="405" hidden="1"/>
    <col min="1803" max="1803" width="3.5703125" style="405" hidden="1"/>
    <col min="1804" max="2048" width="9.140625" style="405" hidden="1"/>
    <col min="2049" max="2049" width="8.42578125" style="405" hidden="1"/>
    <col min="2050" max="2050" width="12.5703125" style="405" hidden="1"/>
    <col min="2051" max="2051" width="5" style="405" hidden="1"/>
    <col min="2052" max="2052" width="2.140625" style="405" hidden="1"/>
    <col min="2053" max="2053" width="12.7109375" style="405" hidden="1"/>
    <col min="2054" max="2054" width="12.28515625" style="405" hidden="1"/>
    <col min="2055" max="2055" width="7.140625" style="405" hidden="1"/>
    <col min="2056" max="2056" width="19" style="405" hidden="1"/>
    <col min="2057" max="2057" width="9.140625" style="405" hidden="1"/>
    <col min="2058" max="2058" width="29.85546875" style="405" hidden="1"/>
    <col min="2059" max="2059" width="3.5703125" style="405" hidden="1"/>
    <col min="2060" max="2304" width="9.140625" style="405" hidden="1"/>
    <col min="2305" max="2305" width="8.42578125" style="405" hidden="1"/>
    <col min="2306" max="2306" width="12.5703125" style="405" hidden="1"/>
    <col min="2307" max="2307" width="5" style="405" hidden="1"/>
    <col min="2308" max="2308" width="2.140625" style="405" hidden="1"/>
    <col min="2309" max="2309" width="12.7109375" style="405" hidden="1"/>
    <col min="2310" max="2310" width="12.28515625" style="405" hidden="1"/>
    <col min="2311" max="2311" width="7.140625" style="405" hidden="1"/>
    <col min="2312" max="2312" width="19" style="405" hidden="1"/>
    <col min="2313" max="2313" width="9.140625" style="405" hidden="1"/>
    <col min="2314" max="2314" width="29.85546875" style="405" hidden="1"/>
    <col min="2315" max="2315" width="3.5703125" style="405" hidden="1"/>
    <col min="2316" max="2560" width="9.140625" style="405" hidden="1"/>
    <col min="2561" max="2561" width="8.42578125" style="405" hidden="1"/>
    <col min="2562" max="2562" width="12.5703125" style="405" hidden="1"/>
    <col min="2563" max="2563" width="5" style="405" hidden="1"/>
    <col min="2564" max="2564" width="2.140625" style="405" hidden="1"/>
    <col min="2565" max="2565" width="12.7109375" style="405" hidden="1"/>
    <col min="2566" max="2566" width="12.28515625" style="405" hidden="1"/>
    <col min="2567" max="2567" width="7.140625" style="405" hidden="1"/>
    <col min="2568" max="2568" width="19" style="405" hidden="1"/>
    <col min="2569" max="2569" width="9.140625" style="405" hidden="1"/>
    <col min="2570" max="2570" width="29.85546875" style="405" hidden="1"/>
    <col min="2571" max="2571" width="3.5703125" style="405" hidden="1"/>
    <col min="2572" max="2816" width="9.140625" style="405" hidden="1"/>
    <col min="2817" max="2817" width="8.42578125" style="405" hidden="1"/>
    <col min="2818" max="2818" width="12.5703125" style="405" hidden="1"/>
    <col min="2819" max="2819" width="5" style="405" hidden="1"/>
    <col min="2820" max="2820" width="2.140625" style="405" hidden="1"/>
    <col min="2821" max="2821" width="12.7109375" style="405" hidden="1"/>
    <col min="2822" max="2822" width="12.28515625" style="405" hidden="1"/>
    <col min="2823" max="2823" width="7.140625" style="405" hidden="1"/>
    <col min="2824" max="2824" width="19" style="405" hidden="1"/>
    <col min="2825" max="2825" width="9.140625" style="405" hidden="1"/>
    <col min="2826" max="2826" width="29.85546875" style="405" hidden="1"/>
    <col min="2827" max="2827" width="3.5703125" style="405" hidden="1"/>
    <col min="2828" max="3072" width="9.140625" style="405" hidden="1"/>
    <col min="3073" max="3073" width="8.42578125" style="405" hidden="1"/>
    <col min="3074" max="3074" width="12.5703125" style="405" hidden="1"/>
    <col min="3075" max="3075" width="5" style="405" hidden="1"/>
    <col min="3076" max="3076" width="2.140625" style="405" hidden="1"/>
    <col min="3077" max="3077" width="12.7109375" style="405" hidden="1"/>
    <col min="3078" max="3078" width="12.28515625" style="405" hidden="1"/>
    <col min="3079" max="3079" width="7.140625" style="405" hidden="1"/>
    <col min="3080" max="3080" width="19" style="405" hidden="1"/>
    <col min="3081" max="3081" width="9.140625" style="405" hidden="1"/>
    <col min="3082" max="3082" width="29.85546875" style="405" hidden="1"/>
    <col min="3083" max="3083" width="3.5703125" style="405" hidden="1"/>
    <col min="3084" max="3328" width="9.140625" style="405" hidden="1"/>
    <col min="3329" max="3329" width="8.42578125" style="405" hidden="1"/>
    <col min="3330" max="3330" width="12.5703125" style="405" hidden="1"/>
    <col min="3331" max="3331" width="5" style="405" hidden="1"/>
    <col min="3332" max="3332" width="2.140625" style="405" hidden="1"/>
    <col min="3333" max="3333" width="12.7109375" style="405" hidden="1"/>
    <col min="3334" max="3334" width="12.28515625" style="405" hidden="1"/>
    <col min="3335" max="3335" width="7.140625" style="405" hidden="1"/>
    <col min="3336" max="3336" width="19" style="405" hidden="1"/>
    <col min="3337" max="3337" width="9.140625" style="405" hidden="1"/>
    <col min="3338" max="3338" width="29.85546875" style="405" hidden="1"/>
    <col min="3339" max="3339" width="3.5703125" style="405" hidden="1"/>
    <col min="3340" max="3584" width="9.140625" style="405" hidden="1"/>
    <col min="3585" max="3585" width="8.42578125" style="405" hidden="1"/>
    <col min="3586" max="3586" width="12.5703125" style="405" hidden="1"/>
    <col min="3587" max="3587" width="5" style="405" hidden="1"/>
    <col min="3588" max="3588" width="2.140625" style="405" hidden="1"/>
    <col min="3589" max="3589" width="12.7109375" style="405" hidden="1"/>
    <col min="3590" max="3590" width="12.28515625" style="405" hidden="1"/>
    <col min="3591" max="3591" width="7.140625" style="405" hidden="1"/>
    <col min="3592" max="3592" width="19" style="405" hidden="1"/>
    <col min="3593" max="3593" width="9.140625" style="405" hidden="1"/>
    <col min="3594" max="3594" width="29.85546875" style="405" hidden="1"/>
    <col min="3595" max="3595" width="3.5703125" style="405" hidden="1"/>
    <col min="3596" max="3840" width="9.140625" style="405" hidden="1"/>
    <col min="3841" max="3841" width="8.42578125" style="405" hidden="1"/>
    <col min="3842" max="3842" width="12.5703125" style="405" hidden="1"/>
    <col min="3843" max="3843" width="5" style="405" hidden="1"/>
    <col min="3844" max="3844" width="2.140625" style="405" hidden="1"/>
    <col min="3845" max="3845" width="12.7109375" style="405" hidden="1"/>
    <col min="3846" max="3846" width="12.28515625" style="405" hidden="1"/>
    <col min="3847" max="3847" width="7.140625" style="405" hidden="1"/>
    <col min="3848" max="3848" width="19" style="405" hidden="1"/>
    <col min="3849" max="3849" width="9.140625" style="405" hidden="1"/>
    <col min="3850" max="3850" width="29.85546875" style="405" hidden="1"/>
    <col min="3851" max="3851" width="3.5703125" style="405" hidden="1"/>
    <col min="3852" max="4096" width="9.140625" style="405" hidden="1"/>
    <col min="4097" max="4097" width="8.42578125" style="405" hidden="1"/>
    <col min="4098" max="4098" width="12.5703125" style="405" hidden="1"/>
    <col min="4099" max="4099" width="5" style="405" hidden="1"/>
    <col min="4100" max="4100" width="2.140625" style="405" hidden="1"/>
    <col min="4101" max="4101" width="12.7109375" style="405" hidden="1"/>
    <col min="4102" max="4102" width="12.28515625" style="405" hidden="1"/>
    <col min="4103" max="4103" width="7.140625" style="405" hidden="1"/>
    <col min="4104" max="4104" width="19" style="405" hidden="1"/>
    <col min="4105" max="4105" width="9.140625" style="405" hidden="1"/>
    <col min="4106" max="4106" width="29.85546875" style="405" hidden="1"/>
    <col min="4107" max="4107" width="3.5703125" style="405" hidden="1"/>
    <col min="4108" max="4352" width="9.140625" style="405" hidden="1"/>
    <col min="4353" max="4353" width="8.42578125" style="405" hidden="1"/>
    <col min="4354" max="4354" width="12.5703125" style="405" hidden="1"/>
    <col min="4355" max="4355" width="5" style="405" hidden="1"/>
    <col min="4356" max="4356" width="2.140625" style="405" hidden="1"/>
    <col min="4357" max="4357" width="12.7109375" style="405" hidden="1"/>
    <col min="4358" max="4358" width="12.28515625" style="405" hidden="1"/>
    <col min="4359" max="4359" width="7.140625" style="405" hidden="1"/>
    <col min="4360" max="4360" width="19" style="405" hidden="1"/>
    <col min="4361" max="4361" width="9.140625" style="405" hidden="1"/>
    <col min="4362" max="4362" width="29.85546875" style="405" hidden="1"/>
    <col min="4363" max="4363" width="3.5703125" style="405" hidden="1"/>
    <col min="4364" max="4608" width="9.140625" style="405" hidden="1"/>
    <col min="4609" max="4609" width="8.42578125" style="405" hidden="1"/>
    <col min="4610" max="4610" width="12.5703125" style="405" hidden="1"/>
    <col min="4611" max="4611" width="5" style="405" hidden="1"/>
    <col min="4612" max="4612" width="2.140625" style="405" hidden="1"/>
    <col min="4613" max="4613" width="12.7109375" style="405" hidden="1"/>
    <col min="4614" max="4614" width="12.28515625" style="405" hidden="1"/>
    <col min="4615" max="4615" width="7.140625" style="405" hidden="1"/>
    <col min="4616" max="4616" width="19" style="405" hidden="1"/>
    <col min="4617" max="4617" width="9.140625" style="405" hidden="1"/>
    <col min="4618" max="4618" width="29.85546875" style="405" hidden="1"/>
    <col min="4619" max="4619" width="3.5703125" style="405" hidden="1"/>
    <col min="4620" max="4864" width="9.140625" style="405" hidden="1"/>
    <col min="4865" max="4865" width="8.42578125" style="405" hidden="1"/>
    <col min="4866" max="4866" width="12.5703125" style="405" hidden="1"/>
    <col min="4867" max="4867" width="5" style="405" hidden="1"/>
    <col min="4868" max="4868" width="2.140625" style="405" hidden="1"/>
    <col min="4869" max="4869" width="12.7109375" style="405" hidden="1"/>
    <col min="4870" max="4870" width="12.28515625" style="405" hidden="1"/>
    <col min="4871" max="4871" width="7.140625" style="405" hidden="1"/>
    <col min="4872" max="4872" width="19" style="405" hidden="1"/>
    <col min="4873" max="4873" width="9.140625" style="405" hidden="1"/>
    <col min="4874" max="4874" width="29.85546875" style="405" hidden="1"/>
    <col min="4875" max="4875" width="3.5703125" style="405" hidden="1"/>
    <col min="4876" max="5120" width="9.140625" style="405" hidden="1"/>
    <col min="5121" max="5121" width="8.42578125" style="405" hidden="1"/>
    <col min="5122" max="5122" width="12.5703125" style="405" hidden="1"/>
    <col min="5123" max="5123" width="5" style="405" hidden="1"/>
    <col min="5124" max="5124" width="2.140625" style="405" hidden="1"/>
    <col min="5125" max="5125" width="12.7109375" style="405" hidden="1"/>
    <col min="5126" max="5126" width="12.28515625" style="405" hidden="1"/>
    <col min="5127" max="5127" width="7.140625" style="405" hidden="1"/>
    <col min="5128" max="5128" width="19" style="405" hidden="1"/>
    <col min="5129" max="5129" width="9.140625" style="405" hidden="1"/>
    <col min="5130" max="5130" width="29.85546875" style="405" hidden="1"/>
    <col min="5131" max="5131" width="3.5703125" style="405" hidden="1"/>
    <col min="5132" max="5376" width="9.140625" style="405" hidden="1"/>
    <col min="5377" max="5377" width="8.42578125" style="405" hidden="1"/>
    <col min="5378" max="5378" width="12.5703125" style="405" hidden="1"/>
    <col min="5379" max="5379" width="5" style="405" hidden="1"/>
    <col min="5380" max="5380" width="2.140625" style="405" hidden="1"/>
    <col min="5381" max="5381" width="12.7109375" style="405" hidden="1"/>
    <col min="5382" max="5382" width="12.28515625" style="405" hidden="1"/>
    <col min="5383" max="5383" width="7.140625" style="405" hidden="1"/>
    <col min="5384" max="5384" width="19" style="405" hidden="1"/>
    <col min="5385" max="5385" width="9.140625" style="405" hidden="1"/>
    <col min="5386" max="5386" width="29.85546875" style="405" hidden="1"/>
    <col min="5387" max="5387" width="3.5703125" style="405" hidden="1"/>
    <col min="5388" max="5632" width="9.140625" style="405" hidden="1"/>
    <col min="5633" max="5633" width="8.42578125" style="405" hidden="1"/>
    <col min="5634" max="5634" width="12.5703125" style="405" hidden="1"/>
    <col min="5635" max="5635" width="5" style="405" hidden="1"/>
    <col min="5636" max="5636" width="2.140625" style="405" hidden="1"/>
    <col min="5637" max="5637" width="12.7109375" style="405" hidden="1"/>
    <col min="5638" max="5638" width="12.28515625" style="405" hidden="1"/>
    <col min="5639" max="5639" width="7.140625" style="405" hidden="1"/>
    <col min="5640" max="5640" width="19" style="405" hidden="1"/>
    <col min="5641" max="5641" width="9.140625" style="405" hidden="1"/>
    <col min="5642" max="5642" width="29.85546875" style="405" hidden="1"/>
    <col min="5643" max="5643" width="3.5703125" style="405" hidden="1"/>
    <col min="5644" max="5888" width="9.140625" style="405" hidden="1"/>
    <col min="5889" max="5889" width="8.42578125" style="405" hidden="1"/>
    <col min="5890" max="5890" width="12.5703125" style="405" hidden="1"/>
    <col min="5891" max="5891" width="5" style="405" hidden="1"/>
    <col min="5892" max="5892" width="2.140625" style="405" hidden="1"/>
    <col min="5893" max="5893" width="12.7109375" style="405" hidden="1"/>
    <col min="5894" max="5894" width="12.28515625" style="405" hidden="1"/>
    <col min="5895" max="5895" width="7.140625" style="405" hidden="1"/>
    <col min="5896" max="5896" width="19" style="405" hidden="1"/>
    <col min="5897" max="5897" width="9.140625" style="405" hidden="1"/>
    <col min="5898" max="5898" width="29.85546875" style="405" hidden="1"/>
    <col min="5899" max="5899" width="3.5703125" style="405" hidden="1"/>
    <col min="5900" max="6144" width="9.140625" style="405" hidden="1"/>
    <col min="6145" max="6145" width="8.42578125" style="405" hidden="1"/>
    <col min="6146" max="6146" width="12.5703125" style="405" hidden="1"/>
    <col min="6147" max="6147" width="5" style="405" hidden="1"/>
    <col min="6148" max="6148" width="2.140625" style="405" hidden="1"/>
    <col min="6149" max="6149" width="12.7109375" style="405" hidden="1"/>
    <col min="6150" max="6150" width="12.28515625" style="405" hidden="1"/>
    <col min="6151" max="6151" width="7.140625" style="405" hidden="1"/>
    <col min="6152" max="6152" width="19" style="405" hidden="1"/>
    <col min="6153" max="6153" width="9.140625" style="405" hidden="1"/>
    <col min="6154" max="6154" width="29.85546875" style="405" hidden="1"/>
    <col min="6155" max="6155" width="3.5703125" style="405" hidden="1"/>
    <col min="6156" max="6400" width="9.140625" style="405" hidden="1"/>
    <col min="6401" max="6401" width="8.42578125" style="405" hidden="1"/>
    <col min="6402" max="6402" width="12.5703125" style="405" hidden="1"/>
    <col min="6403" max="6403" width="5" style="405" hidden="1"/>
    <col min="6404" max="6404" width="2.140625" style="405" hidden="1"/>
    <col min="6405" max="6405" width="12.7109375" style="405" hidden="1"/>
    <col min="6406" max="6406" width="12.28515625" style="405" hidden="1"/>
    <col min="6407" max="6407" width="7.140625" style="405" hidden="1"/>
    <col min="6408" max="6408" width="19" style="405" hidden="1"/>
    <col min="6409" max="6409" width="9.140625" style="405" hidden="1"/>
    <col min="6410" max="6410" width="29.85546875" style="405" hidden="1"/>
    <col min="6411" max="6411" width="3.5703125" style="405" hidden="1"/>
    <col min="6412" max="6656" width="9.140625" style="405" hidden="1"/>
    <col min="6657" max="6657" width="8.42578125" style="405" hidden="1"/>
    <col min="6658" max="6658" width="12.5703125" style="405" hidden="1"/>
    <col min="6659" max="6659" width="5" style="405" hidden="1"/>
    <col min="6660" max="6660" width="2.140625" style="405" hidden="1"/>
    <col min="6661" max="6661" width="12.7109375" style="405" hidden="1"/>
    <col min="6662" max="6662" width="12.28515625" style="405" hidden="1"/>
    <col min="6663" max="6663" width="7.140625" style="405" hidden="1"/>
    <col min="6664" max="6664" width="19" style="405" hidden="1"/>
    <col min="6665" max="6665" width="9.140625" style="405" hidden="1"/>
    <col min="6666" max="6666" width="29.85546875" style="405" hidden="1"/>
    <col min="6667" max="6667" width="3.5703125" style="405" hidden="1"/>
    <col min="6668" max="6912" width="9.140625" style="405" hidden="1"/>
    <col min="6913" max="6913" width="8.42578125" style="405" hidden="1"/>
    <col min="6914" max="6914" width="12.5703125" style="405" hidden="1"/>
    <col min="6915" max="6915" width="5" style="405" hidden="1"/>
    <col min="6916" max="6916" width="2.140625" style="405" hidden="1"/>
    <col min="6917" max="6917" width="12.7109375" style="405" hidden="1"/>
    <col min="6918" max="6918" width="12.28515625" style="405" hidden="1"/>
    <col min="6919" max="6919" width="7.140625" style="405" hidden="1"/>
    <col min="6920" max="6920" width="19" style="405" hidden="1"/>
    <col min="6921" max="6921" width="9.140625" style="405" hidden="1"/>
    <col min="6922" max="6922" width="29.85546875" style="405" hidden="1"/>
    <col min="6923" max="6923" width="3.5703125" style="405" hidden="1"/>
    <col min="6924" max="7168" width="9.140625" style="405" hidden="1"/>
    <col min="7169" max="7169" width="8.42578125" style="405" hidden="1"/>
    <col min="7170" max="7170" width="12.5703125" style="405" hidden="1"/>
    <col min="7171" max="7171" width="5" style="405" hidden="1"/>
    <col min="7172" max="7172" width="2.140625" style="405" hidden="1"/>
    <col min="7173" max="7173" width="12.7109375" style="405" hidden="1"/>
    <col min="7174" max="7174" width="12.28515625" style="405" hidden="1"/>
    <col min="7175" max="7175" width="7.140625" style="405" hidden="1"/>
    <col min="7176" max="7176" width="19" style="405" hidden="1"/>
    <col min="7177" max="7177" width="9.140625" style="405" hidden="1"/>
    <col min="7178" max="7178" width="29.85546875" style="405" hidden="1"/>
    <col min="7179" max="7179" width="3.5703125" style="405" hidden="1"/>
    <col min="7180" max="7424" width="9.140625" style="405" hidden="1"/>
    <col min="7425" max="7425" width="8.42578125" style="405" hidden="1"/>
    <col min="7426" max="7426" width="12.5703125" style="405" hidden="1"/>
    <col min="7427" max="7427" width="5" style="405" hidden="1"/>
    <col min="7428" max="7428" width="2.140625" style="405" hidden="1"/>
    <col min="7429" max="7429" width="12.7109375" style="405" hidden="1"/>
    <col min="7430" max="7430" width="12.28515625" style="405" hidden="1"/>
    <col min="7431" max="7431" width="7.140625" style="405" hidden="1"/>
    <col min="7432" max="7432" width="19" style="405" hidden="1"/>
    <col min="7433" max="7433" width="9.140625" style="405" hidden="1"/>
    <col min="7434" max="7434" width="29.85546875" style="405" hidden="1"/>
    <col min="7435" max="7435" width="3.5703125" style="405" hidden="1"/>
    <col min="7436" max="7680" width="9.140625" style="405" hidden="1"/>
    <col min="7681" max="7681" width="8.42578125" style="405" hidden="1"/>
    <col min="7682" max="7682" width="12.5703125" style="405" hidden="1"/>
    <col min="7683" max="7683" width="5" style="405" hidden="1"/>
    <col min="7684" max="7684" width="2.140625" style="405" hidden="1"/>
    <col min="7685" max="7685" width="12.7109375" style="405" hidden="1"/>
    <col min="7686" max="7686" width="12.28515625" style="405" hidden="1"/>
    <col min="7687" max="7687" width="7.140625" style="405" hidden="1"/>
    <col min="7688" max="7688" width="19" style="405" hidden="1"/>
    <col min="7689" max="7689" width="9.140625" style="405" hidden="1"/>
    <col min="7690" max="7690" width="29.85546875" style="405" hidden="1"/>
    <col min="7691" max="7691" width="3.5703125" style="405" hidden="1"/>
    <col min="7692" max="7936" width="9.140625" style="405" hidden="1"/>
    <col min="7937" max="7937" width="8.42578125" style="405" hidden="1"/>
    <col min="7938" max="7938" width="12.5703125" style="405" hidden="1"/>
    <col min="7939" max="7939" width="5" style="405" hidden="1"/>
    <col min="7940" max="7940" width="2.140625" style="405" hidden="1"/>
    <col min="7941" max="7941" width="12.7109375" style="405" hidden="1"/>
    <col min="7942" max="7942" width="12.28515625" style="405" hidden="1"/>
    <col min="7943" max="7943" width="7.140625" style="405" hidden="1"/>
    <col min="7944" max="7944" width="19" style="405" hidden="1"/>
    <col min="7945" max="7945" width="9.140625" style="405" hidden="1"/>
    <col min="7946" max="7946" width="29.85546875" style="405" hidden="1"/>
    <col min="7947" max="7947" width="3.5703125" style="405" hidden="1"/>
    <col min="7948" max="8192" width="9.140625" style="405" hidden="1"/>
    <col min="8193" max="8193" width="8.42578125" style="405" hidden="1"/>
    <col min="8194" max="8194" width="12.5703125" style="405" hidden="1"/>
    <col min="8195" max="8195" width="5" style="405" hidden="1"/>
    <col min="8196" max="8196" width="2.140625" style="405" hidden="1"/>
    <col min="8197" max="8197" width="12.7109375" style="405" hidden="1"/>
    <col min="8198" max="8198" width="12.28515625" style="405" hidden="1"/>
    <col min="8199" max="8199" width="7.140625" style="405" hidden="1"/>
    <col min="8200" max="8200" width="19" style="405" hidden="1"/>
    <col min="8201" max="8201" width="9.140625" style="405" hidden="1"/>
    <col min="8202" max="8202" width="29.85546875" style="405" hidden="1"/>
    <col min="8203" max="8203" width="3.5703125" style="405" hidden="1"/>
    <col min="8204" max="8448" width="9.140625" style="405" hidden="1"/>
    <col min="8449" max="8449" width="8.42578125" style="405" hidden="1"/>
    <col min="8450" max="8450" width="12.5703125" style="405" hidden="1"/>
    <col min="8451" max="8451" width="5" style="405" hidden="1"/>
    <col min="8452" max="8452" width="2.140625" style="405" hidden="1"/>
    <col min="8453" max="8453" width="12.7109375" style="405" hidden="1"/>
    <col min="8454" max="8454" width="12.28515625" style="405" hidden="1"/>
    <col min="8455" max="8455" width="7.140625" style="405" hidden="1"/>
    <col min="8456" max="8456" width="19" style="405" hidden="1"/>
    <col min="8457" max="8457" width="9.140625" style="405" hidden="1"/>
    <col min="8458" max="8458" width="29.85546875" style="405" hidden="1"/>
    <col min="8459" max="8459" width="3.5703125" style="405" hidden="1"/>
    <col min="8460" max="8704" width="9.140625" style="405" hidden="1"/>
    <col min="8705" max="8705" width="8.42578125" style="405" hidden="1"/>
    <col min="8706" max="8706" width="12.5703125" style="405" hidden="1"/>
    <col min="8707" max="8707" width="5" style="405" hidden="1"/>
    <col min="8708" max="8708" width="2.140625" style="405" hidden="1"/>
    <col min="8709" max="8709" width="12.7109375" style="405" hidden="1"/>
    <col min="8710" max="8710" width="12.28515625" style="405" hidden="1"/>
    <col min="8711" max="8711" width="7.140625" style="405" hidden="1"/>
    <col min="8712" max="8712" width="19" style="405" hidden="1"/>
    <col min="8713" max="8713" width="9.140625" style="405" hidden="1"/>
    <col min="8714" max="8714" width="29.85546875" style="405" hidden="1"/>
    <col min="8715" max="8715" width="3.5703125" style="405" hidden="1"/>
    <col min="8716" max="8960" width="9.140625" style="405" hidden="1"/>
    <col min="8961" max="8961" width="8.42578125" style="405" hidden="1"/>
    <col min="8962" max="8962" width="12.5703125" style="405" hidden="1"/>
    <col min="8963" max="8963" width="5" style="405" hidden="1"/>
    <col min="8964" max="8964" width="2.140625" style="405" hidden="1"/>
    <col min="8965" max="8965" width="12.7109375" style="405" hidden="1"/>
    <col min="8966" max="8966" width="12.28515625" style="405" hidden="1"/>
    <col min="8967" max="8967" width="7.140625" style="405" hidden="1"/>
    <col min="8968" max="8968" width="19" style="405" hidden="1"/>
    <col min="8969" max="8969" width="9.140625" style="405" hidden="1"/>
    <col min="8970" max="8970" width="29.85546875" style="405" hidden="1"/>
    <col min="8971" max="8971" width="3.5703125" style="405" hidden="1"/>
    <col min="8972" max="9216" width="9.140625" style="405" hidden="1"/>
    <col min="9217" max="9217" width="8.42578125" style="405" hidden="1"/>
    <col min="9218" max="9218" width="12.5703125" style="405" hidden="1"/>
    <col min="9219" max="9219" width="5" style="405" hidden="1"/>
    <col min="9220" max="9220" width="2.140625" style="405" hidden="1"/>
    <col min="9221" max="9221" width="12.7109375" style="405" hidden="1"/>
    <col min="9222" max="9222" width="12.28515625" style="405" hidden="1"/>
    <col min="9223" max="9223" width="7.140625" style="405" hidden="1"/>
    <col min="9224" max="9224" width="19" style="405" hidden="1"/>
    <col min="9225" max="9225" width="9.140625" style="405" hidden="1"/>
    <col min="9226" max="9226" width="29.85546875" style="405" hidden="1"/>
    <col min="9227" max="9227" width="3.5703125" style="405" hidden="1"/>
    <col min="9228" max="9472" width="9.140625" style="405" hidden="1"/>
    <col min="9473" max="9473" width="8.42578125" style="405" hidden="1"/>
    <col min="9474" max="9474" width="12.5703125" style="405" hidden="1"/>
    <col min="9475" max="9475" width="5" style="405" hidden="1"/>
    <col min="9476" max="9476" width="2.140625" style="405" hidden="1"/>
    <col min="9477" max="9477" width="12.7109375" style="405" hidden="1"/>
    <col min="9478" max="9478" width="12.28515625" style="405" hidden="1"/>
    <col min="9479" max="9479" width="7.140625" style="405" hidden="1"/>
    <col min="9480" max="9480" width="19" style="405" hidden="1"/>
    <col min="9481" max="9481" width="9.140625" style="405" hidden="1"/>
    <col min="9482" max="9482" width="29.85546875" style="405" hidden="1"/>
    <col min="9483" max="9483" width="3.5703125" style="405" hidden="1"/>
    <col min="9484" max="9728" width="9.140625" style="405" hidden="1"/>
    <col min="9729" max="9729" width="8.42578125" style="405" hidden="1"/>
    <col min="9730" max="9730" width="12.5703125" style="405" hidden="1"/>
    <col min="9731" max="9731" width="5" style="405" hidden="1"/>
    <col min="9732" max="9732" width="2.140625" style="405" hidden="1"/>
    <col min="9733" max="9733" width="12.7109375" style="405" hidden="1"/>
    <col min="9734" max="9734" width="12.28515625" style="405" hidden="1"/>
    <col min="9735" max="9735" width="7.140625" style="405" hidden="1"/>
    <col min="9736" max="9736" width="19" style="405" hidden="1"/>
    <col min="9737" max="9737" width="9.140625" style="405" hidden="1"/>
    <col min="9738" max="9738" width="29.85546875" style="405" hidden="1"/>
    <col min="9739" max="9739" width="3.5703125" style="405" hidden="1"/>
    <col min="9740" max="9984" width="9.140625" style="405" hidden="1"/>
    <col min="9985" max="9985" width="8.42578125" style="405" hidden="1"/>
    <col min="9986" max="9986" width="12.5703125" style="405" hidden="1"/>
    <col min="9987" max="9987" width="5" style="405" hidden="1"/>
    <col min="9988" max="9988" width="2.140625" style="405" hidden="1"/>
    <col min="9989" max="9989" width="12.7109375" style="405" hidden="1"/>
    <col min="9990" max="9990" width="12.28515625" style="405" hidden="1"/>
    <col min="9991" max="9991" width="7.140625" style="405" hidden="1"/>
    <col min="9992" max="9992" width="19" style="405" hidden="1"/>
    <col min="9993" max="9993" width="9.140625" style="405" hidden="1"/>
    <col min="9994" max="9994" width="29.85546875" style="405" hidden="1"/>
    <col min="9995" max="9995" width="3.5703125" style="405" hidden="1"/>
    <col min="9996" max="10240" width="9.140625" style="405" hidden="1"/>
    <col min="10241" max="10241" width="8.42578125" style="405" hidden="1"/>
    <col min="10242" max="10242" width="12.5703125" style="405" hidden="1"/>
    <col min="10243" max="10243" width="5" style="405" hidden="1"/>
    <col min="10244" max="10244" width="2.140625" style="405" hidden="1"/>
    <col min="10245" max="10245" width="12.7109375" style="405" hidden="1"/>
    <col min="10246" max="10246" width="12.28515625" style="405" hidden="1"/>
    <col min="10247" max="10247" width="7.140625" style="405" hidden="1"/>
    <col min="10248" max="10248" width="19" style="405" hidden="1"/>
    <col min="10249" max="10249" width="9.140625" style="405" hidden="1"/>
    <col min="10250" max="10250" width="29.85546875" style="405" hidden="1"/>
    <col min="10251" max="10251" width="3.5703125" style="405" hidden="1"/>
    <col min="10252" max="10496" width="9.140625" style="405" hidden="1"/>
    <col min="10497" max="10497" width="8.42578125" style="405" hidden="1"/>
    <col min="10498" max="10498" width="12.5703125" style="405" hidden="1"/>
    <col min="10499" max="10499" width="5" style="405" hidden="1"/>
    <col min="10500" max="10500" width="2.140625" style="405" hidden="1"/>
    <col min="10501" max="10501" width="12.7109375" style="405" hidden="1"/>
    <col min="10502" max="10502" width="12.28515625" style="405" hidden="1"/>
    <col min="10503" max="10503" width="7.140625" style="405" hidden="1"/>
    <col min="10504" max="10504" width="19" style="405" hidden="1"/>
    <col min="10505" max="10505" width="9.140625" style="405" hidden="1"/>
    <col min="10506" max="10506" width="29.85546875" style="405" hidden="1"/>
    <col min="10507" max="10507" width="3.5703125" style="405" hidden="1"/>
    <col min="10508" max="10752" width="9.140625" style="405" hidden="1"/>
    <col min="10753" max="10753" width="8.42578125" style="405" hidden="1"/>
    <col min="10754" max="10754" width="12.5703125" style="405" hidden="1"/>
    <col min="10755" max="10755" width="5" style="405" hidden="1"/>
    <col min="10756" max="10756" width="2.140625" style="405" hidden="1"/>
    <col min="10757" max="10757" width="12.7109375" style="405" hidden="1"/>
    <col min="10758" max="10758" width="12.28515625" style="405" hidden="1"/>
    <col min="10759" max="10759" width="7.140625" style="405" hidden="1"/>
    <col min="10760" max="10760" width="19" style="405" hidden="1"/>
    <col min="10761" max="10761" width="9.140625" style="405" hidden="1"/>
    <col min="10762" max="10762" width="29.85546875" style="405" hidden="1"/>
    <col min="10763" max="10763" width="3.5703125" style="405" hidden="1"/>
    <col min="10764" max="11008" width="9.140625" style="405" hidden="1"/>
    <col min="11009" max="11009" width="8.42578125" style="405" hidden="1"/>
    <col min="11010" max="11010" width="12.5703125" style="405" hidden="1"/>
    <col min="11011" max="11011" width="5" style="405" hidden="1"/>
    <col min="11012" max="11012" width="2.140625" style="405" hidden="1"/>
    <col min="11013" max="11013" width="12.7109375" style="405" hidden="1"/>
    <col min="11014" max="11014" width="12.28515625" style="405" hidden="1"/>
    <col min="11015" max="11015" width="7.140625" style="405" hidden="1"/>
    <col min="11016" max="11016" width="19" style="405" hidden="1"/>
    <col min="11017" max="11017" width="9.140625" style="405" hidden="1"/>
    <col min="11018" max="11018" width="29.85546875" style="405" hidden="1"/>
    <col min="11019" max="11019" width="3.5703125" style="405" hidden="1"/>
    <col min="11020" max="11264" width="9.140625" style="405" hidden="1"/>
    <col min="11265" max="11265" width="8.42578125" style="405" hidden="1"/>
    <col min="11266" max="11266" width="12.5703125" style="405" hidden="1"/>
    <col min="11267" max="11267" width="5" style="405" hidden="1"/>
    <col min="11268" max="11268" width="2.140625" style="405" hidden="1"/>
    <col min="11269" max="11269" width="12.7109375" style="405" hidden="1"/>
    <col min="11270" max="11270" width="12.28515625" style="405" hidden="1"/>
    <col min="11271" max="11271" width="7.140625" style="405" hidden="1"/>
    <col min="11272" max="11272" width="19" style="405" hidden="1"/>
    <col min="11273" max="11273" width="9.140625" style="405" hidden="1"/>
    <col min="11274" max="11274" width="29.85546875" style="405" hidden="1"/>
    <col min="11275" max="11275" width="3.5703125" style="405" hidden="1"/>
    <col min="11276" max="11520" width="9.140625" style="405" hidden="1"/>
    <col min="11521" max="11521" width="8.42578125" style="405" hidden="1"/>
    <col min="11522" max="11522" width="12.5703125" style="405" hidden="1"/>
    <col min="11523" max="11523" width="5" style="405" hidden="1"/>
    <col min="11524" max="11524" width="2.140625" style="405" hidden="1"/>
    <col min="11525" max="11525" width="12.7109375" style="405" hidden="1"/>
    <col min="11526" max="11526" width="12.28515625" style="405" hidden="1"/>
    <col min="11527" max="11527" width="7.140625" style="405" hidden="1"/>
    <col min="11528" max="11528" width="19" style="405" hidden="1"/>
    <col min="11529" max="11529" width="9.140625" style="405" hidden="1"/>
    <col min="11530" max="11530" width="29.85546875" style="405" hidden="1"/>
    <col min="11531" max="11531" width="3.5703125" style="405" hidden="1"/>
    <col min="11532" max="11776" width="9.140625" style="405" hidden="1"/>
    <col min="11777" max="11777" width="8.42578125" style="405" hidden="1"/>
    <col min="11778" max="11778" width="12.5703125" style="405" hidden="1"/>
    <col min="11779" max="11779" width="5" style="405" hidden="1"/>
    <col min="11780" max="11780" width="2.140625" style="405" hidden="1"/>
    <col min="11781" max="11781" width="12.7109375" style="405" hidden="1"/>
    <col min="11782" max="11782" width="12.28515625" style="405" hidden="1"/>
    <col min="11783" max="11783" width="7.140625" style="405" hidden="1"/>
    <col min="11784" max="11784" width="19" style="405" hidden="1"/>
    <col min="11785" max="11785" width="9.140625" style="405" hidden="1"/>
    <col min="11786" max="11786" width="29.85546875" style="405" hidden="1"/>
    <col min="11787" max="11787" width="3.5703125" style="405" hidden="1"/>
    <col min="11788" max="12032" width="9.140625" style="405" hidden="1"/>
    <col min="12033" max="12033" width="8.42578125" style="405" hidden="1"/>
    <col min="12034" max="12034" width="12.5703125" style="405" hidden="1"/>
    <col min="12035" max="12035" width="5" style="405" hidden="1"/>
    <col min="12036" max="12036" width="2.140625" style="405" hidden="1"/>
    <col min="12037" max="12037" width="12.7109375" style="405" hidden="1"/>
    <col min="12038" max="12038" width="12.28515625" style="405" hidden="1"/>
    <col min="12039" max="12039" width="7.140625" style="405" hidden="1"/>
    <col min="12040" max="12040" width="19" style="405" hidden="1"/>
    <col min="12041" max="12041" width="9.140625" style="405" hidden="1"/>
    <col min="12042" max="12042" width="29.85546875" style="405" hidden="1"/>
    <col min="12043" max="12043" width="3.5703125" style="405" hidden="1"/>
    <col min="12044" max="12288" width="9.140625" style="405" hidden="1"/>
    <col min="12289" max="12289" width="8.42578125" style="405" hidden="1"/>
    <col min="12290" max="12290" width="12.5703125" style="405" hidden="1"/>
    <col min="12291" max="12291" width="5" style="405" hidden="1"/>
    <col min="12292" max="12292" width="2.140625" style="405" hidden="1"/>
    <col min="12293" max="12293" width="12.7109375" style="405" hidden="1"/>
    <col min="12294" max="12294" width="12.28515625" style="405" hidden="1"/>
    <col min="12295" max="12295" width="7.140625" style="405" hidden="1"/>
    <col min="12296" max="12296" width="19" style="405" hidden="1"/>
    <col min="12297" max="12297" width="9.140625" style="405" hidden="1"/>
    <col min="12298" max="12298" width="29.85546875" style="405" hidden="1"/>
    <col min="12299" max="12299" width="3.5703125" style="405" hidden="1"/>
    <col min="12300" max="12544" width="9.140625" style="405" hidden="1"/>
    <col min="12545" max="12545" width="8.42578125" style="405" hidden="1"/>
    <col min="12546" max="12546" width="12.5703125" style="405" hidden="1"/>
    <col min="12547" max="12547" width="5" style="405" hidden="1"/>
    <col min="12548" max="12548" width="2.140625" style="405" hidden="1"/>
    <col min="12549" max="12549" width="12.7109375" style="405" hidden="1"/>
    <col min="12550" max="12550" width="12.28515625" style="405" hidden="1"/>
    <col min="12551" max="12551" width="7.140625" style="405" hidden="1"/>
    <col min="12552" max="12552" width="19" style="405" hidden="1"/>
    <col min="12553" max="12553" width="9.140625" style="405" hidden="1"/>
    <col min="12554" max="12554" width="29.85546875" style="405" hidden="1"/>
    <col min="12555" max="12555" width="3.5703125" style="405" hidden="1"/>
    <col min="12556" max="12800" width="9.140625" style="405" hidden="1"/>
    <col min="12801" max="12801" width="8.42578125" style="405" hidden="1"/>
    <col min="12802" max="12802" width="12.5703125" style="405" hidden="1"/>
    <col min="12803" max="12803" width="5" style="405" hidden="1"/>
    <col min="12804" max="12804" width="2.140625" style="405" hidden="1"/>
    <col min="12805" max="12805" width="12.7109375" style="405" hidden="1"/>
    <col min="12806" max="12806" width="12.28515625" style="405" hidden="1"/>
    <col min="12807" max="12807" width="7.140625" style="405" hidden="1"/>
    <col min="12808" max="12808" width="19" style="405" hidden="1"/>
    <col min="12809" max="12809" width="9.140625" style="405" hidden="1"/>
    <col min="12810" max="12810" width="29.85546875" style="405" hidden="1"/>
    <col min="12811" max="12811" width="3.5703125" style="405" hidden="1"/>
    <col min="12812" max="13056" width="9.140625" style="405" hidden="1"/>
    <col min="13057" max="13057" width="8.42578125" style="405" hidden="1"/>
    <col min="13058" max="13058" width="12.5703125" style="405" hidden="1"/>
    <col min="13059" max="13059" width="5" style="405" hidden="1"/>
    <col min="13060" max="13060" width="2.140625" style="405" hidden="1"/>
    <col min="13061" max="13061" width="12.7109375" style="405" hidden="1"/>
    <col min="13062" max="13062" width="12.28515625" style="405" hidden="1"/>
    <col min="13063" max="13063" width="7.140625" style="405" hidden="1"/>
    <col min="13064" max="13064" width="19" style="405" hidden="1"/>
    <col min="13065" max="13065" width="9.140625" style="405" hidden="1"/>
    <col min="13066" max="13066" width="29.85546875" style="405" hidden="1"/>
    <col min="13067" max="13067" width="3.5703125" style="405" hidden="1"/>
    <col min="13068" max="13312" width="9.140625" style="405" hidden="1"/>
    <col min="13313" max="13313" width="8.42578125" style="405" hidden="1"/>
    <col min="13314" max="13314" width="12.5703125" style="405" hidden="1"/>
    <col min="13315" max="13315" width="5" style="405" hidden="1"/>
    <col min="13316" max="13316" width="2.140625" style="405" hidden="1"/>
    <col min="13317" max="13317" width="12.7109375" style="405" hidden="1"/>
    <col min="13318" max="13318" width="12.28515625" style="405" hidden="1"/>
    <col min="13319" max="13319" width="7.140625" style="405" hidden="1"/>
    <col min="13320" max="13320" width="19" style="405" hidden="1"/>
    <col min="13321" max="13321" width="9.140625" style="405" hidden="1"/>
    <col min="13322" max="13322" width="29.85546875" style="405" hidden="1"/>
    <col min="13323" max="13323" width="3.5703125" style="405" hidden="1"/>
    <col min="13324" max="13568" width="9.140625" style="405" hidden="1"/>
    <col min="13569" max="13569" width="8.42578125" style="405" hidden="1"/>
    <col min="13570" max="13570" width="12.5703125" style="405" hidden="1"/>
    <col min="13571" max="13571" width="5" style="405" hidden="1"/>
    <col min="13572" max="13572" width="2.140625" style="405" hidden="1"/>
    <col min="13573" max="13573" width="12.7109375" style="405" hidden="1"/>
    <col min="13574" max="13574" width="12.28515625" style="405" hidden="1"/>
    <col min="13575" max="13575" width="7.140625" style="405" hidden="1"/>
    <col min="13576" max="13576" width="19" style="405" hidden="1"/>
    <col min="13577" max="13577" width="9.140625" style="405" hidden="1"/>
    <col min="13578" max="13578" width="29.85546875" style="405" hidden="1"/>
    <col min="13579" max="13579" width="3.5703125" style="405" hidden="1"/>
    <col min="13580" max="13824" width="9.140625" style="405" hidden="1"/>
    <col min="13825" max="13825" width="8.42578125" style="405" hidden="1"/>
    <col min="13826" max="13826" width="12.5703125" style="405" hidden="1"/>
    <col min="13827" max="13827" width="5" style="405" hidden="1"/>
    <col min="13828" max="13828" width="2.140625" style="405" hidden="1"/>
    <col min="13829" max="13829" width="12.7109375" style="405" hidden="1"/>
    <col min="13830" max="13830" width="12.28515625" style="405" hidden="1"/>
    <col min="13831" max="13831" width="7.140625" style="405" hidden="1"/>
    <col min="13832" max="13832" width="19" style="405" hidden="1"/>
    <col min="13833" max="13833" width="9.140625" style="405" hidden="1"/>
    <col min="13834" max="13834" width="29.85546875" style="405" hidden="1"/>
    <col min="13835" max="13835" width="3.5703125" style="405" hidden="1"/>
    <col min="13836" max="14080" width="9.140625" style="405" hidden="1"/>
    <col min="14081" max="14081" width="8.42578125" style="405" hidden="1"/>
    <col min="14082" max="14082" width="12.5703125" style="405" hidden="1"/>
    <col min="14083" max="14083" width="5" style="405" hidden="1"/>
    <col min="14084" max="14084" width="2.140625" style="405" hidden="1"/>
    <col min="14085" max="14085" width="12.7109375" style="405" hidden="1"/>
    <col min="14086" max="14086" width="12.28515625" style="405" hidden="1"/>
    <col min="14087" max="14087" width="7.140625" style="405" hidden="1"/>
    <col min="14088" max="14088" width="19" style="405" hidden="1"/>
    <col min="14089" max="14089" width="9.140625" style="405" hidden="1"/>
    <col min="14090" max="14090" width="29.85546875" style="405" hidden="1"/>
    <col min="14091" max="14091" width="3.5703125" style="405" hidden="1"/>
    <col min="14092" max="14336" width="9.140625" style="405" hidden="1"/>
    <col min="14337" max="14337" width="8.42578125" style="405" hidden="1"/>
    <col min="14338" max="14338" width="12.5703125" style="405" hidden="1"/>
    <col min="14339" max="14339" width="5" style="405" hidden="1"/>
    <col min="14340" max="14340" width="2.140625" style="405" hidden="1"/>
    <col min="14341" max="14341" width="12.7109375" style="405" hidden="1"/>
    <col min="14342" max="14342" width="12.28515625" style="405" hidden="1"/>
    <col min="14343" max="14343" width="7.140625" style="405" hidden="1"/>
    <col min="14344" max="14344" width="19" style="405" hidden="1"/>
    <col min="14345" max="14345" width="9.140625" style="405" hidden="1"/>
    <col min="14346" max="14346" width="29.85546875" style="405" hidden="1"/>
    <col min="14347" max="14347" width="3.5703125" style="405" hidden="1"/>
    <col min="14348" max="14592" width="9.140625" style="405" hidden="1"/>
    <col min="14593" max="14593" width="8.42578125" style="405" hidden="1"/>
    <col min="14594" max="14594" width="12.5703125" style="405" hidden="1"/>
    <col min="14595" max="14595" width="5" style="405" hidden="1"/>
    <col min="14596" max="14596" width="2.140625" style="405" hidden="1"/>
    <col min="14597" max="14597" width="12.7109375" style="405" hidden="1"/>
    <col min="14598" max="14598" width="12.28515625" style="405" hidden="1"/>
    <col min="14599" max="14599" width="7.140625" style="405" hidden="1"/>
    <col min="14600" max="14600" width="19" style="405" hidden="1"/>
    <col min="14601" max="14601" width="9.140625" style="405" hidden="1"/>
    <col min="14602" max="14602" width="29.85546875" style="405" hidden="1"/>
    <col min="14603" max="14603" width="3.5703125" style="405" hidden="1"/>
    <col min="14604" max="14848" width="9.140625" style="405" hidden="1"/>
    <col min="14849" max="14849" width="8.42578125" style="405" hidden="1"/>
    <col min="14850" max="14850" width="12.5703125" style="405" hidden="1"/>
    <col min="14851" max="14851" width="5" style="405" hidden="1"/>
    <col min="14852" max="14852" width="2.140625" style="405" hidden="1"/>
    <col min="14853" max="14853" width="12.7109375" style="405" hidden="1"/>
    <col min="14854" max="14854" width="12.28515625" style="405" hidden="1"/>
    <col min="14855" max="14855" width="7.140625" style="405" hidden="1"/>
    <col min="14856" max="14856" width="19" style="405" hidden="1"/>
    <col min="14857" max="14857" width="9.140625" style="405" hidden="1"/>
    <col min="14858" max="14858" width="29.85546875" style="405" hidden="1"/>
    <col min="14859" max="14859" width="3.5703125" style="405" hidden="1"/>
    <col min="14860" max="15104" width="9.140625" style="405" hidden="1"/>
    <col min="15105" max="15105" width="8.42578125" style="405" hidden="1"/>
    <col min="15106" max="15106" width="12.5703125" style="405" hidden="1"/>
    <col min="15107" max="15107" width="5" style="405" hidden="1"/>
    <col min="15108" max="15108" width="2.140625" style="405" hidden="1"/>
    <col min="15109" max="15109" width="12.7109375" style="405" hidden="1"/>
    <col min="15110" max="15110" width="12.28515625" style="405" hidden="1"/>
    <col min="15111" max="15111" width="7.140625" style="405" hidden="1"/>
    <col min="15112" max="15112" width="19" style="405" hidden="1"/>
    <col min="15113" max="15113" width="9.140625" style="405" hidden="1"/>
    <col min="15114" max="15114" width="29.85546875" style="405" hidden="1"/>
    <col min="15115" max="15115" width="3.5703125" style="405" hidden="1"/>
    <col min="15116" max="15360" width="9.140625" style="405" hidden="1"/>
    <col min="15361" max="15361" width="8.42578125" style="405" hidden="1"/>
    <col min="15362" max="15362" width="12.5703125" style="405" hidden="1"/>
    <col min="15363" max="15363" width="5" style="405" hidden="1"/>
    <col min="15364" max="15364" width="2.140625" style="405" hidden="1"/>
    <col min="15365" max="15365" width="12.7109375" style="405" hidden="1"/>
    <col min="15366" max="15366" width="12.28515625" style="405" hidden="1"/>
    <col min="15367" max="15367" width="7.140625" style="405" hidden="1"/>
    <col min="15368" max="15368" width="19" style="405" hidden="1"/>
    <col min="15369" max="15369" width="9.140625" style="405" hidden="1"/>
    <col min="15370" max="15370" width="29.85546875" style="405" hidden="1"/>
    <col min="15371" max="15371" width="3.5703125" style="405" hidden="1"/>
    <col min="15372" max="15616" width="9.140625" style="405" hidden="1"/>
    <col min="15617" max="15617" width="8.42578125" style="405" hidden="1"/>
    <col min="15618" max="15618" width="12.5703125" style="405" hidden="1"/>
    <col min="15619" max="15619" width="5" style="405" hidden="1"/>
    <col min="15620" max="15620" width="2.140625" style="405" hidden="1"/>
    <col min="15621" max="15621" width="12.7109375" style="405" hidden="1"/>
    <col min="15622" max="15622" width="12.28515625" style="405" hidden="1"/>
    <col min="15623" max="15623" width="7.140625" style="405" hidden="1"/>
    <col min="15624" max="15624" width="19" style="405" hidden="1"/>
    <col min="15625" max="15625" width="9.140625" style="405" hidden="1"/>
    <col min="15626" max="15626" width="29.85546875" style="405" hidden="1"/>
    <col min="15627" max="15627" width="3.5703125" style="405" hidden="1"/>
    <col min="15628" max="15872" width="9.140625" style="405" hidden="1"/>
    <col min="15873" max="15873" width="8.42578125" style="405" hidden="1"/>
    <col min="15874" max="15874" width="12.5703125" style="405" hidden="1"/>
    <col min="15875" max="15875" width="5" style="405" hidden="1"/>
    <col min="15876" max="15876" width="2.140625" style="405" hidden="1"/>
    <col min="15877" max="15877" width="12.7109375" style="405" hidden="1"/>
    <col min="15878" max="15878" width="12.28515625" style="405" hidden="1"/>
    <col min="15879" max="15879" width="7.140625" style="405" hidden="1"/>
    <col min="15880" max="15880" width="19" style="405" hidden="1"/>
    <col min="15881" max="15881" width="9.140625" style="405" hidden="1"/>
    <col min="15882" max="15882" width="29.85546875" style="405" hidden="1"/>
    <col min="15883" max="15883" width="3.5703125" style="405" hidden="1"/>
    <col min="15884" max="16128" width="9.140625" style="405" hidden="1"/>
    <col min="16129" max="16129" width="8.42578125" style="405" hidden="1"/>
    <col min="16130" max="16130" width="12.5703125" style="405" hidden="1"/>
    <col min="16131" max="16131" width="5" style="405" hidden="1"/>
    <col min="16132" max="16132" width="2.140625" style="405" hidden="1"/>
    <col min="16133" max="16133" width="12.7109375" style="405" hidden="1"/>
    <col min="16134" max="16134" width="12.28515625" style="405" hidden="1"/>
    <col min="16135" max="16135" width="7.140625" style="405" hidden="1"/>
    <col min="16136" max="16136" width="19" style="405" hidden="1"/>
    <col min="16137" max="16137" width="9.140625" style="405" hidden="1"/>
    <col min="16138" max="16138" width="29.85546875" style="405" hidden="1"/>
    <col min="16139" max="16139" width="3.5703125" style="405" hidden="1"/>
    <col min="16140" max="16384" width="9.140625" style="405" hidden="1"/>
  </cols>
  <sheetData>
    <row r="1" spans="1:23" ht="6" customHeight="1" x14ac:dyDescent="0.25">
      <c r="A1" s="531"/>
      <c r="B1" s="404"/>
      <c r="C1" s="404"/>
      <c r="D1" s="404"/>
      <c r="E1" s="404"/>
      <c r="F1" s="404"/>
      <c r="G1" s="404"/>
      <c r="H1" s="404"/>
      <c r="I1" s="404"/>
      <c r="J1" s="404"/>
      <c r="K1" s="404"/>
      <c r="L1" s="380"/>
    </row>
    <row r="2" spans="1:23" s="454" customFormat="1" ht="19.5" x14ac:dyDescent="0.3">
      <c r="A2" s="451"/>
      <c r="B2" s="819" t="s">
        <v>292</v>
      </c>
      <c r="C2" s="819"/>
      <c r="D2" s="819"/>
      <c r="E2" s="819"/>
      <c r="F2" s="819"/>
      <c r="G2" s="819"/>
      <c r="H2" s="819"/>
      <c r="I2" s="819"/>
      <c r="J2" s="819"/>
      <c r="K2" s="452"/>
      <c r="L2" s="453"/>
      <c r="Q2" s="785" t="s">
        <v>223</v>
      </c>
      <c r="R2" s="785"/>
      <c r="S2" s="785"/>
      <c r="T2" s="785"/>
      <c r="U2" s="785"/>
      <c r="V2" s="785"/>
      <c r="W2" s="785"/>
    </row>
    <row r="3" spans="1:23" s="454" customFormat="1" ht="15.75" customHeight="1" x14ac:dyDescent="0.3">
      <c r="A3" s="455"/>
      <c r="B3" s="809" t="s">
        <v>293</v>
      </c>
      <c r="C3" s="809"/>
      <c r="D3" s="809"/>
      <c r="E3" s="809"/>
      <c r="F3" s="809"/>
      <c r="G3" s="809"/>
      <c r="H3" s="809"/>
      <c r="I3" s="809"/>
      <c r="J3" s="809"/>
      <c r="K3" s="456"/>
      <c r="L3" s="457"/>
      <c r="Q3" s="785"/>
      <c r="R3" s="785"/>
      <c r="S3" s="785"/>
      <c r="T3" s="785"/>
      <c r="U3" s="785"/>
      <c r="V3" s="785"/>
      <c r="W3" s="785"/>
    </row>
    <row r="4" spans="1:23" x14ac:dyDescent="0.25">
      <c r="A4" s="407"/>
      <c r="B4" s="409" t="s">
        <v>294</v>
      </c>
      <c r="C4" s="410"/>
      <c r="D4" s="410"/>
      <c r="E4" s="406"/>
      <c r="F4" s="406"/>
      <c r="G4" s="406"/>
      <c r="H4" s="406"/>
      <c r="I4" s="410"/>
      <c r="J4" s="410"/>
      <c r="L4" s="408"/>
      <c r="Q4" s="785"/>
      <c r="R4" s="785"/>
      <c r="S4" s="785"/>
      <c r="T4" s="785"/>
      <c r="U4" s="785"/>
      <c r="V4" s="785"/>
      <c r="W4" s="785"/>
    </row>
    <row r="5" spans="1:23" s="417" customFormat="1" ht="17.25" customHeight="1" x14ac:dyDescent="0.25">
      <c r="A5" s="411"/>
      <c r="B5" s="412">
        <v>1</v>
      </c>
      <c r="C5" s="413" t="s">
        <v>295</v>
      </c>
      <c r="D5" s="414"/>
      <c r="E5" s="414"/>
      <c r="F5" s="414"/>
      <c r="G5" s="414"/>
      <c r="H5" s="414"/>
      <c r="I5" s="414"/>
      <c r="J5" s="414"/>
      <c r="K5" s="415"/>
      <c r="L5" s="416"/>
      <c r="Q5" s="785"/>
      <c r="R5" s="785"/>
      <c r="S5" s="785"/>
      <c r="T5" s="785"/>
      <c r="U5" s="785"/>
      <c r="V5" s="785"/>
      <c r="W5" s="785"/>
    </row>
    <row r="6" spans="1:23" s="417" customFormat="1" x14ac:dyDescent="0.25">
      <c r="A6" s="411"/>
      <c r="B6" s="412">
        <v>2</v>
      </c>
      <c r="C6" s="823" t="s">
        <v>296</v>
      </c>
      <c r="D6" s="823"/>
      <c r="E6" s="823"/>
      <c r="F6" s="823"/>
      <c r="G6" s="823"/>
      <c r="H6" s="823"/>
      <c r="I6" s="823"/>
      <c r="J6" s="823"/>
      <c r="K6" s="415"/>
      <c r="L6" s="416"/>
      <c r="Q6"/>
      <c r="R6"/>
      <c r="S6"/>
      <c r="T6" s="32"/>
      <c r="U6" s="105"/>
      <c r="V6" s="105"/>
      <c r="W6" s="32"/>
    </row>
    <row r="7" spans="1:23" s="417" customFormat="1" ht="19.5" customHeight="1" x14ac:dyDescent="0.25">
      <c r="A7" s="411"/>
      <c r="B7" s="412">
        <v>3</v>
      </c>
      <c r="C7" s="413" t="s">
        <v>297</v>
      </c>
      <c r="D7" s="414"/>
      <c r="E7" s="414"/>
      <c r="F7" s="414"/>
      <c r="G7" s="414"/>
      <c r="H7" s="414"/>
      <c r="I7" s="414"/>
      <c r="J7" s="414"/>
      <c r="K7" s="415"/>
      <c r="L7" s="416"/>
      <c r="Q7"/>
      <c r="R7"/>
      <c r="S7"/>
      <c r="T7" s="102" t="s">
        <v>173</v>
      </c>
      <c r="U7" s="101" t="s">
        <v>174</v>
      </c>
      <c r="V7" s="101" t="s">
        <v>175</v>
      </c>
      <c r="W7" s="101"/>
    </row>
    <row r="8" spans="1:23" s="417" customFormat="1" ht="19.5" customHeight="1" x14ac:dyDescent="0.25">
      <c r="A8" s="411"/>
      <c r="B8" s="412">
        <v>4</v>
      </c>
      <c r="C8" s="413" t="s">
        <v>697</v>
      </c>
      <c r="D8" s="414"/>
      <c r="E8" s="414"/>
      <c r="F8" s="414"/>
      <c r="G8" s="414"/>
      <c r="H8" s="414"/>
      <c r="I8" s="414"/>
      <c r="J8" s="414"/>
      <c r="K8" s="415"/>
      <c r="L8" s="416"/>
      <c r="Q8"/>
      <c r="R8"/>
      <c r="S8"/>
      <c r="T8" s="102"/>
      <c r="U8" s="101"/>
      <c r="V8" s="101"/>
      <c r="W8" s="101"/>
    </row>
    <row r="9" spans="1:23" s="417" customFormat="1" ht="19.5" customHeight="1" x14ac:dyDescent="0.25">
      <c r="A9" s="411"/>
      <c r="B9" s="412"/>
      <c r="C9" s="413" t="s">
        <v>699</v>
      </c>
      <c r="D9" s="414"/>
      <c r="E9" s="414"/>
      <c r="F9" s="414"/>
      <c r="G9" s="414"/>
      <c r="H9" s="414"/>
      <c r="I9" s="414"/>
      <c r="J9" s="414"/>
      <c r="K9" s="415"/>
      <c r="L9" s="416"/>
      <c r="Q9"/>
      <c r="R9"/>
      <c r="S9"/>
      <c r="T9" s="102"/>
      <c r="U9" s="101"/>
      <c r="V9" s="101"/>
      <c r="W9" s="101"/>
    </row>
    <row r="10" spans="1:23" ht="21.95" hidden="1" customHeight="1" x14ac:dyDescent="0.25">
      <c r="A10" s="381"/>
      <c r="B10" s="409"/>
      <c r="C10" s="418"/>
      <c r="D10" s="418"/>
      <c r="E10" s="418"/>
      <c r="F10" s="418"/>
      <c r="G10" s="418"/>
      <c r="H10" s="418"/>
      <c r="I10" s="418"/>
      <c r="J10" s="418"/>
      <c r="L10" s="382"/>
      <c r="Q10"/>
      <c r="R10"/>
      <c r="S10"/>
      <c r="T10" s="103"/>
      <c r="U10" s="104"/>
      <c r="V10" s="104"/>
      <c r="W10" s="104"/>
    </row>
    <row r="11" spans="1:23" ht="18" hidden="1" customHeight="1" x14ac:dyDescent="0.25">
      <c r="A11" s="383"/>
      <c r="B11" s="412"/>
      <c r="C11" s="413"/>
      <c r="D11" s="414"/>
      <c r="E11" s="414"/>
      <c r="F11" s="414"/>
      <c r="G11" s="414"/>
      <c r="H11" s="414"/>
      <c r="I11" s="414"/>
      <c r="J11" s="414"/>
      <c r="L11" s="384"/>
      <c r="Q11" s="29"/>
      <c r="R11" s="5"/>
      <c r="S11" s="5"/>
      <c r="T11" s="103" t="str">
        <f>G18</f>
        <v>Identification Marks:</v>
      </c>
      <c r="U11" s="104" t="str">
        <f>IF(I18="","Check","Validated")</f>
        <v>Check</v>
      </c>
      <c r="V11" s="104" t="s">
        <v>2</v>
      </c>
      <c r="W11" s="104"/>
    </row>
    <row r="12" spans="1:23" ht="18" hidden="1" customHeight="1" x14ac:dyDescent="0.25">
      <c r="A12" s="383"/>
      <c r="B12" s="412"/>
      <c r="C12" s="413"/>
      <c r="D12" s="414"/>
      <c r="E12" s="414"/>
      <c r="F12" s="414"/>
      <c r="G12" s="414"/>
      <c r="H12" s="414"/>
      <c r="I12" s="414"/>
      <c r="J12" s="414"/>
      <c r="L12" s="384"/>
      <c r="Q12"/>
      <c r="R12"/>
      <c r="S12"/>
      <c r="T12" s="103" t="str">
        <f>C24</f>
        <v>Name of your family Physician</v>
      </c>
      <c r="U12" s="104" t="str">
        <f>IF(H24="","Check","Validated")</f>
        <v>Check</v>
      </c>
      <c r="V12" s="104" t="s">
        <v>2</v>
      </c>
      <c r="W12" s="104"/>
    </row>
    <row r="13" spans="1:23" ht="6" customHeight="1" x14ac:dyDescent="0.25">
      <c r="A13" s="383"/>
      <c r="B13" s="418"/>
      <c r="C13" s="418"/>
      <c r="D13" s="418"/>
      <c r="E13" s="418"/>
      <c r="F13" s="418"/>
      <c r="G13" s="418"/>
      <c r="H13" s="418"/>
      <c r="I13" s="414"/>
      <c r="J13" s="414"/>
      <c r="L13" s="384"/>
      <c r="Q13" s="5"/>
      <c r="R13"/>
      <c r="S13"/>
      <c r="T13" s="103" t="str">
        <f>C25</f>
        <v>E-mail and Phone No</v>
      </c>
      <c r="U13" s="104" t="str">
        <f>IF(H25="","Check","Validated")</f>
        <v>Check</v>
      </c>
      <c r="V13" s="104" t="s">
        <v>2</v>
      </c>
      <c r="W13" s="104"/>
    </row>
    <row r="14" spans="1:23" ht="18" customHeight="1" x14ac:dyDescent="0.25">
      <c r="A14" s="383"/>
      <c r="B14" s="418"/>
      <c r="C14" s="401" t="s">
        <v>298</v>
      </c>
      <c r="D14" s="389"/>
      <c r="E14" s="391" t="str">
        <f>UPPER(IF(E_Name="","",E_Name))</f>
        <v xml:space="preserve">  </v>
      </c>
      <c r="F14" s="419"/>
      <c r="G14" s="387"/>
      <c r="H14" s="389"/>
      <c r="I14" s="420"/>
      <c r="J14" s="420"/>
      <c r="L14" s="384"/>
      <c r="Q14"/>
      <c r="R14"/>
      <c r="S14"/>
      <c r="T14" s="103" t="str">
        <f>C26</f>
        <v>Details of any existing Indian Medical Insurance cover:</v>
      </c>
      <c r="U14" s="104" t="str">
        <f>IF(H26="","Check","Validated")</f>
        <v>Check</v>
      </c>
      <c r="V14" s="104" t="s">
        <v>2</v>
      </c>
      <c r="W14" s="104"/>
    </row>
    <row r="15" spans="1:23" ht="18" customHeight="1" x14ac:dyDescent="0.25">
      <c r="A15" s="383"/>
      <c r="B15" s="418"/>
      <c r="C15" s="401" t="s">
        <v>299</v>
      </c>
      <c r="D15" s="419"/>
      <c r="E15" s="388" t="str">
        <f>IF(Empl_No=0," ",Empl_No)</f>
        <v>NA</v>
      </c>
      <c r="F15" s="389"/>
      <c r="G15" s="403" t="s">
        <v>300</v>
      </c>
      <c r="H15" s="390" t="str">
        <f>IF('Admin Form'!$D$14=0,"",'Admin Form'!$D$14)</f>
        <v/>
      </c>
      <c r="I15" s="403" t="s">
        <v>301</v>
      </c>
      <c r="J15" s="390" t="str">
        <f>IF('Personal Information'!$F$23=0,"",'Personal Information'!$F$23)</f>
        <v/>
      </c>
      <c r="L15" s="384"/>
      <c r="Q15" s="5"/>
      <c r="R15" s="5"/>
      <c r="S15" s="5"/>
      <c r="T15" s="103" t="str">
        <f>C27</f>
        <v>Issued by</v>
      </c>
      <c r="U15" s="104" t="str">
        <f>IF(D27="","Check","Validated")</f>
        <v>Check</v>
      </c>
      <c r="V15" s="104" t="s">
        <v>2</v>
      </c>
      <c r="W15" s="104"/>
    </row>
    <row r="16" spans="1:23" ht="18" customHeight="1" x14ac:dyDescent="0.25">
      <c r="A16" s="383"/>
      <c r="B16" s="418"/>
      <c r="C16" s="401" t="s">
        <v>302</v>
      </c>
      <c r="D16" s="419"/>
      <c r="E16" s="391" t="str">
        <f>IF('Personal Information'!$D$22=0,"",'Personal Information'!$D$22)</f>
        <v/>
      </c>
      <c r="F16" s="392"/>
      <c r="G16" s="403" t="s">
        <v>303</v>
      </c>
      <c r="H16" s="390" t="str">
        <f>IF('Personal Information'!$D$50=0,"",'Personal Information'!$D$50)</f>
        <v/>
      </c>
      <c r="I16" s="403" t="s">
        <v>304</v>
      </c>
      <c r="J16" s="390" t="str">
        <f>IF('Personal Information'!$D$51=0,"",'Personal Information'!$D$51)</f>
        <v/>
      </c>
      <c r="L16" s="384"/>
      <c r="Q16"/>
      <c r="R16"/>
      <c r="S16"/>
      <c r="T16" s="103" t="str">
        <f>G27</f>
        <v>Expiry Date</v>
      </c>
      <c r="U16" s="104" t="str">
        <f>IF(I27="","Check","Validated")</f>
        <v>Check</v>
      </c>
      <c r="V16" s="104" t="s">
        <v>2</v>
      </c>
      <c r="W16" s="104"/>
    </row>
    <row r="17" spans="1:23" ht="18" customHeight="1" x14ac:dyDescent="0.25">
      <c r="A17" s="383"/>
      <c r="B17" s="418"/>
      <c r="C17" s="401" t="s">
        <v>305</v>
      </c>
      <c r="D17" s="419"/>
      <c r="E17" s="824" t="str">
        <f>IF(DOB=0,"",DOB)</f>
        <v/>
      </c>
      <c r="F17" s="825"/>
      <c r="G17" s="403" t="s">
        <v>306</v>
      </c>
      <c r="H17" s="393" t="str">
        <f ca="1">IF(ISERROR(INT((TODAY()-E17)/365.25))," ",INT((TODAY()-E17)/365.25))</f>
        <v xml:space="preserve"> </v>
      </c>
      <c r="I17" s="394"/>
      <c r="J17" s="395"/>
      <c r="L17" s="384"/>
      <c r="Q17" s="5"/>
      <c r="R17" s="29"/>
      <c r="S17" s="29"/>
      <c r="T17" s="103" t="s">
        <v>511</v>
      </c>
      <c r="U17" s="104" t="str">
        <f>IF(D44="","Check","Validated")</f>
        <v>Check</v>
      </c>
      <c r="V17" s="104" t="s">
        <v>2</v>
      </c>
      <c r="W17" s="29"/>
    </row>
    <row r="18" spans="1:23" ht="18" customHeight="1" x14ac:dyDescent="0.25">
      <c r="A18" s="383"/>
      <c r="B18" s="418"/>
      <c r="C18" s="401" t="s">
        <v>307</v>
      </c>
      <c r="D18" s="419"/>
      <c r="E18" s="391" t="str">
        <f>IF('Personal Information'!$D$27=0,"",'Personal Information'!$D$27)</f>
        <v/>
      </c>
      <c r="F18" s="392"/>
      <c r="G18" s="401" t="s">
        <v>308</v>
      </c>
      <c r="H18" s="392"/>
      <c r="I18" s="812"/>
      <c r="J18" s="814"/>
      <c r="L18" s="384"/>
      <c r="Q18" s="29"/>
      <c r="R18" s="29"/>
      <c r="S18" s="29"/>
      <c r="T18" s="103" t="s">
        <v>512</v>
      </c>
      <c r="U18" s="104" t="str">
        <f>IF(AND(E49&lt;&gt;"",D54=""),"Check","Validated")</f>
        <v>Validated</v>
      </c>
      <c r="V18" s="104" t="s">
        <v>2</v>
      </c>
      <c r="W18" s="29"/>
    </row>
    <row r="19" spans="1:23" ht="18" customHeight="1" x14ac:dyDescent="0.25">
      <c r="A19" s="383"/>
      <c r="B19" s="418"/>
      <c r="C19" s="421" t="s">
        <v>309</v>
      </c>
      <c r="D19" s="422"/>
      <c r="E19" s="423"/>
      <c r="F19" s="424"/>
      <c r="G19" s="396" t="str">
        <f>IF(('Personal Information'!$D$43&amp;'Personal Information'!$D$44&amp;'Personal Information'!$D$45)=0,"",'Personal Information'!$D$43&amp;" "&amp;'Personal Information'!$D$44)</f>
        <v xml:space="preserve"> </v>
      </c>
      <c r="H19" s="397"/>
      <c r="I19" s="398"/>
      <c r="J19" s="399"/>
      <c r="L19" s="384"/>
      <c r="T19" s="103" t="s">
        <v>513</v>
      </c>
      <c r="U19" s="104" t="str">
        <f>IF(AND(J49&lt;&gt;"",I54=""),"Check","Validated")</f>
        <v>Validated</v>
      </c>
      <c r="V19" s="104" t="s">
        <v>2</v>
      </c>
    </row>
    <row r="20" spans="1:23" ht="18" customHeight="1" x14ac:dyDescent="0.25">
      <c r="A20" s="383"/>
      <c r="B20" s="418"/>
      <c r="C20" s="425"/>
      <c r="D20" s="426"/>
      <c r="E20" s="420"/>
      <c r="F20" s="427"/>
      <c r="G20" s="826" t="str">
        <f>IF('Personal Information'!$D$45=0,"",'Personal Information'!$D$45&amp;" - "&amp;'Personal Information'!$D$48)</f>
        <v/>
      </c>
      <c r="H20" s="827"/>
      <c r="I20" s="827"/>
      <c r="J20" s="828"/>
      <c r="L20" s="384"/>
      <c r="T20" s="103" t="s">
        <v>514</v>
      </c>
      <c r="U20" s="104" t="str">
        <f>IF(AND(E59&lt;&gt;"",D64=""),"Check","Validated")</f>
        <v>Validated</v>
      </c>
      <c r="V20" s="104" t="s">
        <v>2</v>
      </c>
    </row>
    <row r="21" spans="1:23" ht="18" customHeight="1" x14ac:dyDescent="0.25">
      <c r="A21" s="383"/>
      <c r="B21" s="428"/>
      <c r="C21" s="429"/>
      <c r="D21" s="430"/>
      <c r="E21" s="431"/>
      <c r="F21" s="432"/>
      <c r="G21" s="433" t="s">
        <v>310</v>
      </c>
      <c r="H21" s="400" t="str">
        <f>IF('Personal Information'!$D$46=0,"",'Personal Information'!$D$46)</f>
        <v/>
      </c>
      <c r="I21" s="434" t="s">
        <v>311</v>
      </c>
      <c r="J21" s="400" t="str">
        <f>IF('Personal Information'!$D$47=0,"",'Personal Information'!$D$47)</f>
        <v/>
      </c>
      <c r="L21" s="384"/>
      <c r="T21" s="103" t="s">
        <v>515</v>
      </c>
      <c r="U21" s="104" t="str">
        <f>IF(AND(J59&lt;&gt;"",I64=""),"Check","Validated")</f>
        <v>Validated</v>
      </c>
      <c r="V21" s="104" t="s">
        <v>2</v>
      </c>
    </row>
    <row r="22" spans="1:23" ht="6" customHeight="1" thickBot="1" x14ac:dyDescent="0.3">
      <c r="A22" s="383"/>
      <c r="B22" s="435"/>
      <c r="C22" s="436"/>
      <c r="D22" s="436"/>
      <c r="E22" s="437"/>
      <c r="F22" s="437"/>
      <c r="G22" s="437"/>
      <c r="H22" s="437"/>
      <c r="I22" s="437"/>
      <c r="J22" s="437"/>
      <c r="L22" s="384"/>
      <c r="T22" s="103" t="s">
        <v>516</v>
      </c>
      <c r="U22" s="104" t="str">
        <f>IF(AND(E69&lt;&gt;"",D74=""),"Check","Validated")</f>
        <v>Validated</v>
      </c>
      <c r="V22" s="104" t="s">
        <v>2</v>
      </c>
    </row>
    <row r="23" spans="1:23" ht="6" customHeight="1" x14ac:dyDescent="0.25">
      <c r="A23" s="383"/>
      <c r="B23" s="428"/>
      <c r="C23" s="438"/>
      <c r="D23" s="438"/>
      <c r="E23" s="418"/>
      <c r="F23" s="418"/>
      <c r="G23" s="418"/>
      <c r="H23" s="418"/>
      <c r="I23" s="418"/>
      <c r="J23" s="418"/>
      <c r="L23" s="384"/>
      <c r="T23" s="103" t="s">
        <v>517</v>
      </c>
      <c r="U23" s="104" t="str">
        <f>IF(AND(J69&lt;&gt;"",I74=""),"Check","Validated")</f>
        <v>Validated</v>
      </c>
      <c r="V23" s="104" t="s">
        <v>2</v>
      </c>
    </row>
    <row r="24" spans="1:23" ht="18" customHeight="1" x14ac:dyDescent="0.25">
      <c r="A24" s="383"/>
      <c r="B24" s="428"/>
      <c r="C24" s="805" t="s">
        <v>312</v>
      </c>
      <c r="D24" s="806"/>
      <c r="E24" s="806"/>
      <c r="F24" s="806"/>
      <c r="G24" s="807"/>
      <c r="H24" s="820"/>
      <c r="I24" s="821"/>
      <c r="J24" s="822"/>
      <c r="L24" s="384"/>
    </row>
    <row r="25" spans="1:23" ht="18" customHeight="1" x14ac:dyDescent="0.25">
      <c r="A25" s="383"/>
      <c r="B25" s="428"/>
      <c r="C25" s="805" t="s">
        <v>313</v>
      </c>
      <c r="D25" s="806"/>
      <c r="E25" s="806"/>
      <c r="F25" s="806"/>
      <c r="G25" s="807"/>
      <c r="H25" s="812"/>
      <c r="I25" s="813"/>
      <c r="J25" s="814"/>
      <c r="L25" s="384"/>
    </row>
    <row r="26" spans="1:23" ht="18" customHeight="1" x14ac:dyDescent="0.25">
      <c r="A26" s="383"/>
      <c r="B26" s="428"/>
      <c r="C26" s="401" t="s">
        <v>314</v>
      </c>
      <c r="D26" s="387"/>
      <c r="E26" s="387"/>
      <c r="F26" s="387"/>
      <c r="G26" s="402"/>
      <c r="H26" s="812"/>
      <c r="I26" s="813"/>
      <c r="J26" s="814"/>
      <c r="L26" s="384"/>
      <c r="T26" s="103" t="b">
        <f>U26=V26</f>
        <v>0</v>
      </c>
      <c r="U26" s="105">
        <f>COUNTIF(U11:U25,"Validated")</f>
        <v>6</v>
      </c>
      <c r="V26" s="105">
        <f>COUNTIF($V$11:$V$24,"x")</f>
        <v>13</v>
      </c>
    </row>
    <row r="27" spans="1:23" ht="18" customHeight="1" x14ac:dyDescent="0.25">
      <c r="A27" s="383"/>
      <c r="B27" s="428"/>
      <c r="C27" s="403" t="s">
        <v>315</v>
      </c>
      <c r="D27" s="812"/>
      <c r="E27" s="813"/>
      <c r="F27" s="814"/>
      <c r="G27" s="401" t="s">
        <v>316</v>
      </c>
      <c r="H27" s="439"/>
      <c r="I27" s="810"/>
      <c r="J27" s="811"/>
      <c r="L27" s="384"/>
    </row>
    <row r="28" spans="1:23" ht="6" customHeight="1" x14ac:dyDescent="0.25">
      <c r="A28" s="383"/>
      <c r="B28" s="428"/>
      <c r="C28" s="440"/>
      <c r="D28" s="438"/>
      <c r="E28" s="418"/>
      <c r="F28" s="418"/>
      <c r="G28" s="440"/>
      <c r="H28" s="441"/>
      <c r="I28" s="442"/>
      <c r="J28" s="442"/>
      <c r="L28" s="384"/>
    </row>
    <row r="29" spans="1:23" s="444" customFormat="1" ht="18" customHeight="1" x14ac:dyDescent="0.25">
      <c r="A29" s="383"/>
      <c r="B29" s="443"/>
      <c r="C29" s="808" t="s">
        <v>317</v>
      </c>
      <c r="D29" s="808"/>
      <c r="E29" s="808"/>
      <c r="F29" s="808"/>
      <c r="G29" s="808"/>
      <c r="H29" s="808"/>
      <c r="I29" s="808"/>
      <c r="J29" s="808"/>
      <c r="K29" s="443"/>
      <c r="L29" s="384"/>
    </row>
    <row r="30" spans="1:23" ht="44.25" customHeight="1" x14ac:dyDescent="0.25">
      <c r="A30" s="383"/>
      <c r="B30" s="428"/>
      <c r="C30" s="808" t="s">
        <v>318</v>
      </c>
      <c r="D30" s="808"/>
      <c r="E30" s="808"/>
      <c r="F30" s="808"/>
      <c r="G30" s="808"/>
      <c r="H30" s="808"/>
      <c r="I30" s="808"/>
      <c r="J30" s="808"/>
      <c r="L30" s="384"/>
    </row>
    <row r="31" spans="1:23" ht="59.25" customHeight="1" x14ac:dyDescent="0.25">
      <c r="A31" s="383"/>
      <c r="B31" s="428"/>
      <c r="C31" s="808" t="s">
        <v>319</v>
      </c>
      <c r="D31" s="808"/>
      <c r="E31" s="808"/>
      <c r="F31" s="808"/>
      <c r="G31" s="808"/>
      <c r="H31" s="808"/>
      <c r="I31" s="808"/>
      <c r="J31" s="808"/>
      <c r="L31" s="384"/>
    </row>
    <row r="32" spans="1:23" ht="22.5" customHeight="1" x14ac:dyDescent="0.25">
      <c r="A32" s="383"/>
      <c r="B32" s="428"/>
      <c r="C32" s="440" t="s">
        <v>320</v>
      </c>
      <c r="D32" s="445"/>
      <c r="E32" s="445"/>
      <c r="F32" s="445"/>
      <c r="G32" s="445"/>
      <c r="H32" s="445"/>
      <c r="I32" s="445" t="s">
        <v>321</v>
      </c>
      <c r="J32" s="458" t="str">
        <f>IF(DOJ=0,"",DOJ)</f>
        <v/>
      </c>
      <c r="L32" s="384"/>
    </row>
    <row r="33" spans="1:12" ht="40.5" customHeight="1" x14ac:dyDescent="0.25">
      <c r="A33" s="383"/>
      <c r="B33" s="428"/>
      <c r="C33" s="440"/>
      <c r="D33" s="438"/>
      <c r="E33" s="418"/>
      <c r="F33" s="418"/>
      <c r="G33" s="440"/>
      <c r="H33" s="441"/>
      <c r="I33" s="442"/>
      <c r="J33" s="442"/>
      <c r="L33" s="384"/>
    </row>
    <row r="34" spans="1:12" ht="34.5" customHeight="1" x14ac:dyDescent="0.25">
      <c r="A34" s="383"/>
      <c r="B34" s="428"/>
      <c r="C34" s="440" t="s">
        <v>322</v>
      </c>
      <c r="D34" s="438"/>
      <c r="E34" s="418"/>
      <c r="F34" s="418"/>
      <c r="G34" s="440"/>
      <c r="H34" s="441"/>
      <c r="I34" s="442"/>
      <c r="J34" s="442"/>
      <c r="L34" s="384"/>
    </row>
    <row r="35" spans="1:12" ht="16.5" thickBot="1" x14ac:dyDescent="0.3">
      <c r="A35" s="385"/>
      <c r="B35" s="446"/>
      <c r="C35" s="446"/>
      <c r="D35" s="446"/>
      <c r="E35" s="446"/>
      <c r="F35" s="446"/>
      <c r="G35" s="446"/>
      <c r="H35" s="446"/>
      <c r="I35" s="446"/>
      <c r="J35" s="446"/>
      <c r="K35" s="446"/>
      <c r="L35" s="386"/>
    </row>
    <row r="36" spans="1:12" s="447" customFormat="1" ht="27" customHeight="1" x14ac:dyDescent="0.25">
      <c r="A36" s="383"/>
      <c r="B36" s="809" t="s">
        <v>323</v>
      </c>
      <c r="C36" s="809"/>
      <c r="D36" s="809"/>
      <c r="E36" s="809"/>
      <c r="F36" s="809"/>
      <c r="G36" s="809"/>
      <c r="H36" s="809"/>
      <c r="I36" s="809"/>
      <c r="J36" s="809"/>
      <c r="L36" s="384"/>
    </row>
    <row r="37" spans="1:12" ht="6" customHeight="1" x14ac:dyDescent="0.25">
      <c r="A37" s="383"/>
      <c r="B37" s="428"/>
      <c r="C37" s="438"/>
      <c r="D37" s="438"/>
      <c r="E37" s="418"/>
      <c r="F37" s="418"/>
      <c r="G37" s="418"/>
      <c r="H37" s="418"/>
      <c r="I37" s="418"/>
      <c r="J37" s="418"/>
      <c r="L37" s="384"/>
    </row>
    <row r="38" spans="1:12" s="406" customFormat="1" x14ac:dyDescent="0.25">
      <c r="A38" s="383"/>
      <c r="C38" s="450" t="s">
        <v>492</v>
      </c>
      <c r="D38" s="449"/>
      <c r="H38" s="418"/>
      <c r="I38" s="418"/>
      <c r="J38" s="418"/>
      <c r="L38" s="384"/>
    </row>
    <row r="39" spans="1:12" ht="6" customHeight="1" x14ac:dyDescent="0.25">
      <c r="A39" s="383"/>
      <c r="B39" s="428"/>
      <c r="C39" s="438"/>
      <c r="D39" s="438"/>
      <c r="E39" s="418"/>
      <c r="F39" s="418"/>
      <c r="G39" s="418"/>
      <c r="H39" s="418"/>
      <c r="I39" s="418"/>
      <c r="J39" s="418"/>
      <c r="L39" s="384"/>
    </row>
    <row r="40" spans="1:12" s="406" customFormat="1" x14ac:dyDescent="0.25">
      <c r="A40" s="383"/>
      <c r="C40" s="401" t="s">
        <v>487</v>
      </c>
      <c r="D40" s="448"/>
      <c r="E40" s="817" t="str">
        <f>UPPER(IF(E_Name=0,"",E_Name))</f>
        <v xml:space="preserve">  </v>
      </c>
      <c r="F40" s="818"/>
      <c r="G40" s="447"/>
      <c r="H40" s="418"/>
      <c r="I40" s="418"/>
      <c r="J40" s="418"/>
      <c r="L40" s="384"/>
    </row>
    <row r="41" spans="1:12" s="406" customFormat="1" x14ac:dyDescent="0.25">
      <c r="A41" s="383"/>
      <c r="C41" s="401" t="s">
        <v>488</v>
      </c>
      <c r="D41" s="448"/>
      <c r="E41" s="817" t="str">
        <f>IF('Personal Information'!D25=0,"",'Personal Information'!D25)</f>
        <v/>
      </c>
      <c r="F41" s="818"/>
      <c r="G41" s="447"/>
      <c r="H41" s="418"/>
      <c r="I41" s="418"/>
      <c r="J41" s="418"/>
      <c r="L41" s="384"/>
    </row>
    <row r="42" spans="1:12" s="406" customFormat="1" x14ac:dyDescent="0.25">
      <c r="A42" s="383"/>
      <c r="C42" s="401" t="s">
        <v>489</v>
      </c>
      <c r="D42" s="448"/>
      <c r="E42" s="815" t="str">
        <f>IF(DOB=0,"",DOB)</f>
        <v/>
      </c>
      <c r="F42" s="816"/>
      <c r="G42" s="447"/>
      <c r="H42" s="418"/>
      <c r="I42" s="418"/>
      <c r="J42" s="418"/>
      <c r="L42" s="384"/>
    </row>
    <row r="43" spans="1:12" s="406" customFormat="1" x14ac:dyDescent="0.25">
      <c r="A43" s="383"/>
      <c r="C43" s="401" t="s">
        <v>490</v>
      </c>
      <c r="D43" s="448"/>
      <c r="E43" s="803" t="str">
        <f ca="1">IF(ISERROR(INT((TODAY()-E42)/365.25))," ",INT((TODAY()-E42)/365.25))</f>
        <v xml:space="preserve"> </v>
      </c>
      <c r="F43" s="804"/>
      <c r="G43" s="447"/>
      <c r="H43" s="418"/>
      <c r="I43" s="418"/>
      <c r="J43" s="418"/>
      <c r="L43" s="384"/>
    </row>
    <row r="44" spans="1:12" s="406" customFormat="1" x14ac:dyDescent="0.25">
      <c r="A44" s="383"/>
      <c r="C44" s="403" t="s">
        <v>491</v>
      </c>
      <c r="D44" s="800"/>
      <c r="E44" s="801"/>
      <c r="F44" s="802"/>
      <c r="H44" s="418"/>
      <c r="I44" s="418"/>
      <c r="J44" s="418"/>
      <c r="L44" s="384"/>
    </row>
    <row r="45" spans="1:12" s="406" customFormat="1" x14ac:dyDescent="0.25">
      <c r="A45" s="383"/>
      <c r="H45" s="418"/>
      <c r="I45" s="418"/>
      <c r="J45" s="418"/>
      <c r="L45" s="384"/>
    </row>
    <row r="46" spans="1:12" ht="6" customHeight="1" x14ac:dyDescent="0.25">
      <c r="A46" s="383"/>
      <c r="B46" s="428"/>
      <c r="C46" s="438"/>
      <c r="D46" s="438"/>
      <c r="E46" s="418"/>
      <c r="F46" s="418"/>
      <c r="G46" s="418"/>
      <c r="H46" s="418"/>
      <c r="I46" s="418"/>
      <c r="J46" s="418"/>
      <c r="L46" s="384"/>
    </row>
    <row r="47" spans="1:12" s="406" customFormat="1" x14ac:dyDescent="0.25">
      <c r="A47" s="383"/>
      <c r="C47" s="450" t="s">
        <v>493</v>
      </c>
      <c r="D47" s="449"/>
      <c r="H47" s="450" t="s">
        <v>495</v>
      </c>
      <c r="I47" s="449"/>
      <c r="L47" s="384"/>
    </row>
    <row r="48" spans="1:12" ht="6" customHeight="1" x14ac:dyDescent="0.25">
      <c r="A48" s="383"/>
      <c r="B48" s="428"/>
      <c r="C48" s="438"/>
      <c r="D48" s="438"/>
      <c r="E48" s="418"/>
      <c r="F48" s="418"/>
      <c r="G48" s="418"/>
      <c r="H48" s="418"/>
      <c r="I48" s="418"/>
      <c r="J48" s="418"/>
      <c r="L48" s="384"/>
    </row>
    <row r="49" spans="1:12" s="406" customFormat="1" x14ac:dyDescent="0.25">
      <c r="A49" s="383"/>
      <c r="C49" s="401" t="s">
        <v>487</v>
      </c>
      <c r="D49" s="448"/>
      <c r="E49" s="817" t="str">
        <f>UPPER(IF('Personal Information'!B106=0,"",'Personal Information'!B106))</f>
        <v/>
      </c>
      <c r="F49" s="818"/>
      <c r="G49" s="447"/>
      <c r="H49" s="401" t="s">
        <v>494</v>
      </c>
      <c r="I49" s="448"/>
      <c r="J49" s="817" t="str">
        <f>UPPER(IF('Personal Information'!B107=0,"",'Personal Information'!B107))</f>
        <v/>
      </c>
      <c r="K49" s="818"/>
      <c r="L49" s="384"/>
    </row>
    <row r="50" spans="1:12" s="406" customFormat="1" x14ac:dyDescent="0.25">
      <c r="A50" s="383"/>
      <c r="C50" s="401" t="s">
        <v>488</v>
      </c>
      <c r="D50" s="448"/>
      <c r="E50" s="817" t="str">
        <f>IF('Personal Information'!D106=0,"",IF(OR('Personal Information'!D106="Wife",'Personal Information'!D106="Daughter",'Personal Information'!D106="Mother"),"Female","Male"))</f>
        <v/>
      </c>
      <c r="F50" s="818"/>
      <c r="G50" s="447"/>
      <c r="H50" s="401" t="s">
        <v>488</v>
      </c>
      <c r="I50" s="448"/>
      <c r="J50" s="817" t="str">
        <f>IF('Personal Information'!D107=0,"",IF(OR('Personal Information'!D107="Wife",'Personal Information'!D107="Daughter",'Personal Information'!D107="Mother"),"Female","Male"))</f>
        <v/>
      </c>
      <c r="K50" s="818"/>
      <c r="L50" s="384"/>
    </row>
    <row r="51" spans="1:12" s="406" customFormat="1" x14ac:dyDescent="0.25">
      <c r="A51" s="383"/>
      <c r="C51" s="401" t="s">
        <v>489</v>
      </c>
      <c r="D51" s="448"/>
      <c r="E51" s="815" t="str">
        <f>IF('Personal Information'!F106=0,"",'Personal Information'!F106)</f>
        <v/>
      </c>
      <c r="F51" s="816"/>
      <c r="G51" s="447"/>
      <c r="H51" s="401" t="s">
        <v>489</v>
      </c>
      <c r="I51" s="448"/>
      <c r="J51" s="815" t="str">
        <f>IF('Personal Information'!F107=0,"",'Personal Information'!F107)</f>
        <v/>
      </c>
      <c r="K51" s="816"/>
      <c r="L51" s="384"/>
    </row>
    <row r="52" spans="1:12" s="406" customFormat="1" x14ac:dyDescent="0.25">
      <c r="A52" s="383"/>
      <c r="C52" s="401" t="s">
        <v>490</v>
      </c>
      <c r="D52" s="448"/>
      <c r="E52" s="803" t="str">
        <f ca="1">IF(ISERROR(INT((TODAY()-E51)/365.25))," ",INT((TODAY()-E51)/365.25))</f>
        <v xml:space="preserve"> </v>
      </c>
      <c r="F52" s="804"/>
      <c r="G52" s="447"/>
      <c r="H52" s="401" t="s">
        <v>490</v>
      </c>
      <c r="I52" s="448"/>
      <c r="J52" s="803" t="str">
        <f ca="1">IF(ISERROR(INT((TODAY()-J51)/365.25))," ",INT((TODAY()-J51)/365.25))</f>
        <v xml:space="preserve"> </v>
      </c>
      <c r="K52" s="804"/>
      <c r="L52" s="384"/>
    </row>
    <row r="53" spans="1:12" s="406" customFormat="1" x14ac:dyDescent="0.25">
      <c r="A53" s="383"/>
      <c r="C53" s="401" t="s">
        <v>500</v>
      </c>
      <c r="D53" s="448"/>
      <c r="E53" s="803" t="str">
        <f>IF('Personal Information'!D106=0,"",'Personal Information'!D106)</f>
        <v/>
      </c>
      <c r="F53" s="804"/>
      <c r="G53" s="447"/>
      <c r="H53" s="401" t="s">
        <v>500</v>
      </c>
      <c r="I53" s="448"/>
      <c r="J53" s="803" t="str">
        <f>IF('Personal Information'!D107=0,"",'Personal Information'!D107)</f>
        <v/>
      </c>
      <c r="K53" s="804"/>
      <c r="L53" s="384"/>
    </row>
    <row r="54" spans="1:12" s="406" customFormat="1" x14ac:dyDescent="0.25">
      <c r="A54" s="383"/>
      <c r="C54" s="403" t="s">
        <v>491</v>
      </c>
      <c r="D54" s="800"/>
      <c r="E54" s="801"/>
      <c r="F54" s="802"/>
      <c r="H54" s="403" t="s">
        <v>491</v>
      </c>
      <c r="I54" s="800"/>
      <c r="J54" s="801"/>
      <c r="K54" s="802"/>
      <c r="L54" s="384"/>
    </row>
    <row r="55" spans="1:12" x14ac:dyDescent="0.25">
      <c r="A55" s="383"/>
      <c r="B55" s="406"/>
      <c r="C55" s="406"/>
      <c r="D55" s="406"/>
      <c r="E55" s="406"/>
      <c r="F55" s="406"/>
      <c r="G55" s="406"/>
      <c r="H55" s="406"/>
      <c r="I55" s="406"/>
      <c r="J55" s="406"/>
      <c r="L55" s="384"/>
    </row>
    <row r="56" spans="1:12" ht="6" customHeight="1" x14ac:dyDescent="0.25">
      <c r="A56" s="383"/>
      <c r="B56" s="428"/>
      <c r="C56" s="438"/>
      <c r="D56" s="438"/>
      <c r="E56" s="418"/>
      <c r="F56" s="418"/>
      <c r="G56" s="418"/>
      <c r="H56" s="418"/>
      <c r="I56" s="418"/>
      <c r="J56" s="418"/>
      <c r="L56" s="384"/>
    </row>
    <row r="57" spans="1:12" s="406" customFormat="1" x14ac:dyDescent="0.25">
      <c r="A57" s="383"/>
      <c r="C57" s="450" t="s">
        <v>496</v>
      </c>
      <c r="D57" s="449"/>
      <c r="H57" s="450" t="s">
        <v>497</v>
      </c>
      <c r="I57" s="449"/>
      <c r="L57" s="384"/>
    </row>
    <row r="58" spans="1:12" ht="6" customHeight="1" x14ac:dyDescent="0.25">
      <c r="A58" s="383"/>
      <c r="B58" s="428"/>
      <c r="C58" s="438"/>
      <c r="D58" s="438"/>
      <c r="E58" s="418"/>
      <c r="F58" s="418"/>
      <c r="G58" s="418"/>
      <c r="H58" s="418"/>
      <c r="I58" s="418"/>
      <c r="J58" s="418"/>
      <c r="L58" s="384"/>
    </row>
    <row r="59" spans="1:12" s="406" customFormat="1" x14ac:dyDescent="0.25">
      <c r="A59" s="383"/>
      <c r="C59" s="401" t="s">
        <v>487</v>
      </c>
      <c r="D59" s="448"/>
      <c r="E59" s="817" t="str">
        <f>UPPER(IF('Personal Information'!B108=0,"",'Personal Information'!B108))</f>
        <v/>
      </c>
      <c r="F59" s="818"/>
      <c r="G59" s="447"/>
      <c r="H59" s="401" t="s">
        <v>494</v>
      </c>
      <c r="I59" s="448"/>
      <c r="J59" s="817" t="str">
        <f>UPPER(IF('Personal Information'!B109=0,"",'Personal Information'!B109))</f>
        <v/>
      </c>
      <c r="K59" s="818"/>
      <c r="L59" s="384"/>
    </row>
    <row r="60" spans="1:12" s="406" customFormat="1" x14ac:dyDescent="0.25">
      <c r="A60" s="383"/>
      <c r="C60" s="401" t="s">
        <v>488</v>
      </c>
      <c r="D60" s="448"/>
      <c r="E60" s="817" t="str">
        <f>IF('Personal Information'!D108=0,"",IF(OR('Personal Information'!D108="Wife",'Personal Information'!D108="Daughter",'Personal Information'!D108="Mother"),"Female","Male"))</f>
        <v/>
      </c>
      <c r="F60" s="818"/>
      <c r="G60" s="447"/>
      <c r="H60" s="401" t="s">
        <v>488</v>
      </c>
      <c r="I60" s="448"/>
      <c r="J60" s="817" t="str">
        <f>IF('Personal Information'!D109=0,"",IF(OR('Personal Information'!D109="Wife",'Personal Information'!D109="Daughter",'Personal Information'!D109="Mother"),"Female","Male"))</f>
        <v/>
      </c>
      <c r="K60" s="818"/>
      <c r="L60" s="384"/>
    </row>
    <row r="61" spans="1:12" s="406" customFormat="1" x14ac:dyDescent="0.25">
      <c r="A61" s="383"/>
      <c r="C61" s="401" t="s">
        <v>489</v>
      </c>
      <c r="D61" s="448"/>
      <c r="E61" s="815" t="str">
        <f>IF('Personal Information'!F108=0,"",'Personal Information'!F108)</f>
        <v/>
      </c>
      <c r="F61" s="816"/>
      <c r="G61" s="447"/>
      <c r="H61" s="401" t="s">
        <v>489</v>
      </c>
      <c r="I61" s="448"/>
      <c r="J61" s="815" t="str">
        <f>IF('Personal Information'!F109=0,"",'Personal Information'!F109)</f>
        <v/>
      </c>
      <c r="K61" s="816"/>
      <c r="L61" s="384"/>
    </row>
    <row r="62" spans="1:12" s="406" customFormat="1" x14ac:dyDescent="0.25">
      <c r="A62" s="383"/>
      <c r="C62" s="401" t="s">
        <v>490</v>
      </c>
      <c r="D62" s="448"/>
      <c r="E62" s="803" t="str">
        <f ca="1">IF(ISERROR(INT((TODAY()-E61)/365.25))," ",INT((TODAY()-E61)/365.25))</f>
        <v xml:space="preserve"> </v>
      </c>
      <c r="F62" s="804"/>
      <c r="G62" s="447"/>
      <c r="H62" s="401" t="s">
        <v>490</v>
      </c>
      <c r="I62" s="448"/>
      <c r="J62" s="803" t="str">
        <f ca="1">IF(ISERROR(INT((TODAY()-J61)/365.25))," ",INT((TODAY()-J61)/365.25))</f>
        <v xml:space="preserve"> </v>
      </c>
      <c r="K62" s="804"/>
      <c r="L62" s="384"/>
    </row>
    <row r="63" spans="1:12" s="406" customFormat="1" x14ac:dyDescent="0.25">
      <c r="A63" s="383"/>
      <c r="C63" s="401" t="s">
        <v>500</v>
      </c>
      <c r="D63" s="448"/>
      <c r="E63" s="803" t="str">
        <f>IF('Personal Information'!D108=0,"",'Personal Information'!D108)</f>
        <v/>
      </c>
      <c r="F63" s="804"/>
      <c r="G63" s="447"/>
      <c r="H63" s="401" t="s">
        <v>500</v>
      </c>
      <c r="I63" s="448"/>
      <c r="J63" s="803" t="str">
        <f>IF('Personal Information'!D109=0,"",'Personal Information'!D109)</f>
        <v/>
      </c>
      <c r="K63" s="804"/>
      <c r="L63" s="384"/>
    </row>
    <row r="64" spans="1:12" s="406" customFormat="1" x14ac:dyDescent="0.25">
      <c r="A64" s="383"/>
      <c r="C64" s="403" t="s">
        <v>491</v>
      </c>
      <c r="D64" s="800"/>
      <c r="E64" s="801"/>
      <c r="F64" s="802"/>
      <c r="H64" s="403" t="s">
        <v>491</v>
      </c>
      <c r="I64" s="800"/>
      <c r="J64" s="801"/>
      <c r="K64" s="802"/>
      <c r="L64" s="384"/>
    </row>
    <row r="65" spans="1:12" x14ac:dyDescent="0.25">
      <c r="A65" s="383"/>
      <c r="B65" s="406"/>
      <c r="C65" s="406"/>
      <c r="D65" s="406"/>
      <c r="E65" s="406"/>
      <c r="F65" s="406"/>
      <c r="G65" s="406"/>
      <c r="H65" s="406"/>
      <c r="I65" s="406"/>
      <c r="J65" s="406"/>
      <c r="L65" s="384"/>
    </row>
    <row r="66" spans="1:12" ht="6" customHeight="1" x14ac:dyDescent="0.25">
      <c r="A66" s="383"/>
      <c r="B66" s="428"/>
      <c r="C66" s="438"/>
      <c r="D66" s="438"/>
      <c r="E66" s="418"/>
      <c r="F66" s="418"/>
      <c r="G66" s="418"/>
      <c r="H66" s="418"/>
      <c r="I66" s="418"/>
      <c r="J66" s="418"/>
      <c r="L66" s="384"/>
    </row>
    <row r="67" spans="1:12" s="406" customFormat="1" x14ac:dyDescent="0.25">
      <c r="A67" s="383"/>
      <c r="C67" s="450" t="s">
        <v>498</v>
      </c>
      <c r="D67" s="449"/>
      <c r="H67" s="450" t="s">
        <v>499</v>
      </c>
      <c r="I67" s="449"/>
      <c r="L67" s="384"/>
    </row>
    <row r="68" spans="1:12" ht="6" customHeight="1" x14ac:dyDescent="0.25">
      <c r="A68" s="383"/>
      <c r="B68" s="428"/>
      <c r="C68" s="438"/>
      <c r="D68" s="438"/>
      <c r="E68" s="418"/>
      <c r="F68" s="418"/>
      <c r="G68" s="418"/>
      <c r="H68" s="418"/>
      <c r="I68" s="418"/>
      <c r="J68" s="418"/>
      <c r="L68" s="384"/>
    </row>
    <row r="69" spans="1:12" s="406" customFormat="1" x14ac:dyDescent="0.25">
      <c r="A69" s="383"/>
      <c r="C69" s="401" t="s">
        <v>487</v>
      </c>
      <c r="D69" s="448"/>
      <c r="E69" s="817" t="str">
        <f>UPPER(IF('Personal Information'!B110=0,"",'Personal Information'!B110))</f>
        <v/>
      </c>
      <c r="F69" s="818"/>
      <c r="G69" s="447"/>
      <c r="H69" s="401" t="s">
        <v>494</v>
      </c>
      <c r="I69" s="448"/>
      <c r="J69" s="817" t="str">
        <f>UPPER(IF('Personal Information'!B111=0,"",'Personal Information'!B111))</f>
        <v/>
      </c>
      <c r="K69" s="818"/>
      <c r="L69" s="384"/>
    </row>
    <row r="70" spans="1:12" s="406" customFormat="1" x14ac:dyDescent="0.25">
      <c r="A70" s="383"/>
      <c r="C70" s="401" t="s">
        <v>488</v>
      </c>
      <c r="D70" s="448"/>
      <c r="E70" s="817" t="str">
        <f>IF('Personal Information'!D110=0,"",IF(OR('Personal Information'!D110="Wife",'Personal Information'!D110="Daughter",'Personal Information'!D110="Mother"),"Female","Male"))</f>
        <v/>
      </c>
      <c r="F70" s="818"/>
      <c r="G70" s="447"/>
      <c r="H70" s="401" t="s">
        <v>488</v>
      </c>
      <c r="I70" s="448"/>
      <c r="J70" s="817" t="str">
        <f>IF('Personal Information'!D111=0,"",IF(OR('Personal Information'!D111="Wife",'Personal Information'!D111="Daughter",'Personal Information'!D111="Mother"),"Female","Male"))</f>
        <v/>
      </c>
      <c r="K70" s="818"/>
      <c r="L70" s="384"/>
    </row>
    <row r="71" spans="1:12" s="406" customFormat="1" x14ac:dyDescent="0.25">
      <c r="A71" s="383"/>
      <c r="C71" s="401" t="s">
        <v>489</v>
      </c>
      <c r="D71" s="448"/>
      <c r="E71" s="815" t="str">
        <f>IF('Personal Information'!F110=0,"",'Personal Information'!F110)</f>
        <v/>
      </c>
      <c r="F71" s="816"/>
      <c r="G71" s="447"/>
      <c r="H71" s="401" t="s">
        <v>489</v>
      </c>
      <c r="I71" s="448"/>
      <c r="J71" s="815" t="str">
        <f>IF('Personal Information'!F111=0,"",'Personal Information'!F111)</f>
        <v/>
      </c>
      <c r="K71" s="816"/>
      <c r="L71" s="384"/>
    </row>
    <row r="72" spans="1:12" s="406" customFormat="1" x14ac:dyDescent="0.25">
      <c r="A72" s="383"/>
      <c r="C72" s="401" t="s">
        <v>490</v>
      </c>
      <c r="D72" s="448"/>
      <c r="E72" s="803" t="str">
        <f ca="1">IF(ISERROR(INT((TODAY()-E71)/365.25))," ",INT((TODAY()-E71)/365.25))</f>
        <v xml:space="preserve"> </v>
      </c>
      <c r="F72" s="804"/>
      <c r="G72" s="447"/>
      <c r="H72" s="401" t="s">
        <v>490</v>
      </c>
      <c r="I72" s="448"/>
      <c r="J72" s="803" t="str">
        <f ca="1">IF(ISERROR(INT((TODAY()-J71)/365.25))," ",INT((TODAY()-J71)/365.25))</f>
        <v xml:space="preserve"> </v>
      </c>
      <c r="K72" s="804"/>
      <c r="L72" s="384"/>
    </row>
    <row r="73" spans="1:12" s="406" customFormat="1" x14ac:dyDescent="0.25">
      <c r="A73" s="383"/>
      <c r="C73" s="401" t="s">
        <v>500</v>
      </c>
      <c r="D73" s="448"/>
      <c r="E73" s="803" t="str">
        <f>IF('Personal Information'!D110=0,"",'Personal Information'!D110)</f>
        <v/>
      </c>
      <c r="F73" s="804"/>
      <c r="G73" s="447"/>
      <c r="H73" s="401" t="s">
        <v>500</v>
      </c>
      <c r="I73" s="448"/>
      <c r="J73" s="803" t="str">
        <f>IF('Personal Information'!D111=0,"",'Personal Information'!D111)</f>
        <v/>
      </c>
      <c r="K73" s="804"/>
      <c r="L73" s="384"/>
    </row>
    <row r="74" spans="1:12" s="406" customFormat="1" x14ac:dyDescent="0.25">
      <c r="A74" s="383"/>
      <c r="C74" s="403" t="s">
        <v>491</v>
      </c>
      <c r="D74" s="800"/>
      <c r="E74" s="801"/>
      <c r="F74" s="802"/>
      <c r="H74" s="403" t="s">
        <v>491</v>
      </c>
      <c r="I74" s="800"/>
      <c r="J74" s="801"/>
      <c r="K74" s="802"/>
      <c r="L74" s="384"/>
    </row>
    <row r="75" spans="1:12" x14ac:dyDescent="0.25">
      <c r="A75" s="383"/>
      <c r="B75" s="406"/>
      <c r="C75" s="406"/>
      <c r="D75" s="406"/>
      <c r="E75" s="406"/>
      <c r="F75" s="406"/>
      <c r="G75" s="406"/>
      <c r="H75" s="406"/>
      <c r="I75" s="406"/>
      <c r="J75" s="406"/>
      <c r="L75" s="384"/>
    </row>
    <row r="76" spans="1:12" ht="16.5" thickBot="1" x14ac:dyDescent="0.3">
      <c r="A76" s="385"/>
      <c r="B76" s="446"/>
      <c r="C76" s="446"/>
      <c r="D76" s="446"/>
      <c r="E76" s="446"/>
      <c r="F76" s="446"/>
      <c r="G76" s="446"/>
      <c r="H76" s="446"/>
      <c r="I76" s="446"/>
      <c r="J76" s="446"/>
      <c r="K76" s="532"/>
      <c r="L76" s="386"/>
    </row>
    <row r="77" spans="1:12" x14ac:dyDescent="0.25"/>
  </sheetData>
  <sheetProtection password="CA99" sheet="1" objects="1" scenarios="1" selectLockedCells="1"/>
  <mergeCells count="59">
    <mergeCell ref="J72:K72"/>
    <mergeCell ref="D74:F74"/>
    <mergeCell ref="I74:K74"/>
    <mergeCell ref="E53:F53"/>
    <mergeCell ref="J53:K53"/>
    <mergeCell ref="E63:F63"/>
    <mergeCell ref="J63:K63"/>
    <mergeCell ref="E73:F73"/>
    <mergeCell ref="J73:K73"/>
    <mergeCell ref="I64:K64"/>
    <mergeCell ref="E69:F69"/>
    <mergeCell ref="J69:K69"/>
    <mergeCell ref="E70:F70"/>
    <mergeCell ref="J70:K70"/>
    <mergeCell ref="E71:F71"/>
    <mergeCell ref="J71:K71"/>
    <mergeCell ref="E62:F62"/>
    <mergeCell ref="J62:K62"/>
    <mergeCell ref="E51:F51"/>
    <mergeCell ref="J51:K51"/>
    <mergeCell ref="E52:F52"/>
    <mergeCell ref="J52:K52"/>
    <mergeCell ref="D54:F54"/>
    <mergeCell ref="I54:K54"/>
    <mergeCell ref="E59:F59"/>
    <mergeCell ref="J59:K59"/>
    <mergeCell ref="E60:F60"/>
    <mergeCell ref="J60:K60"/>
    <mergeCell ref="E61:F61"/>
    <mergeCell ref="J61:K61"/>
    <mergeCell ref="J50:K50"/>
    <mergeCell ref="B2:J2"/>
    <mergeCell ref="E40:F40"/>
    <mergeCell ref="E41:F41"/>
    <mergeCell ref="I18:J18"/>
    <mergeCell ref="H24:J24"/>
    <mergeCell ref="H25:J25"/>
    <mergeCell ref="D27:F27"/>
    <mergeCell ref="B3:J3"/>
    <mergeCell ref="C6:J6"/>
    <mergeCell ref="E17:F17"/>
    <mergeCell ref="G20:J20"/>
    <mergeCell ref="C24:G24"/>
    <mergeCell ref="Q2:W5"/>
    <mergeCell ref="D64:F64"/>
    <mergeCell ref="E72:F72"/>
    <mergeCell ref="C25:G25"/>
    <mergeCell ref="C29:J29"/>
    <mergeCell ref="C30:J30"/>
    <mergeCell ref="C31:J31"/>
    <mergeCell ref="B36:J36"/>
    <mergeCell ref="I27:J27"/>
    <mergeCell ref="H26:J26"/>
    <mergeCell ref="E43:F43"/>
    <mergeCell ref="E42:F42"/>
    <mergeCell ref="D44:F44"/>
    <mergeCell ref="E49:F49"/>
    <mergeCell ref="J49:K49"/>
    <mergeCell ref="E50:F50"/>
  </mergeCells>
  <conditionalFormatting sqref="H15:H16 J16">
    <cfRule type="cellIs" dxfId="22" priority="17" stopIfTrue="1" operator="equal">
      <formula>0</formula>
    </cfRule>
  </conditionalFormatting>
  <conditionalFormatting sqref="H24:H26 I18:J18 I27:J27 D27">
    <cfRule type="cellIs" dxfId="21" priority="16" stopIfTrue="1" operator="equal">
      <formula>0</formula>
    </cfRule>
  </conditionalFormatting>
  <conditionalFormatting sqref="D44 D54 I54 D64 I64 D74 I74">
    <cfRule type="cellIs" dxfId="20" priority="8" stopIfTrue="1" operator="equal">
      <formula>0</formula>
    </cfRule>
  </conditionalFormatting>
  <dataValidations count="1">
    <dataValidation type="list" allowBlank="1" showInputMessage="1" showErrorMessage="1" sqref="D44 D74 I64 D64 I54 D54 I74" xr:uid="{00000000-0002-0000-0800-000000000000}">
      <formula1>"Currently in Good Health, Diabetes, Hypertension, Chest Pain/Coronary Insufficient/Mycardial Infraction"</formula1>
    </dataValidation>
  </dataValidations>
  <pageMargins left="0.7" right="0.7" top="0.75" bottom="0.75" header="0.3" footer="0.3"/>
  <pageSetup scale="57" fitToHeight="2" orientation="portrait" r:id="rId1"/>
  <headerFooter>
    <oddHeader xml:space="preserve">&amp;L -   </oddHeader>
    <oddFooter>&amp;CPage &amp;P - &amp;N</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WVU65520"/>
  <sheetViews>
    <sheetView showGridLines="0" zoomScale="80" zoomScaleNormal="80" zoomScaleSheetLayoutView="100" workbookViewId="0">
      <selection activeCell="E8" sqref="E8:H9"/>
    </sheetView>
  </sheetViews>
  <sheetFormatPr defaultColWidth="0" defaultRowHeight="12.75" zeroHeight="1" x14ac:dyDescent="0.2"/>
  <cols>
    <col min="1" max="1" width="5.85546875" style="267" customWidth="1"/>
    <col min="2" max="2" width="11.85546875" style="267" customWidth="1"/>
    <col min="3" max="3" width="8.42578125" style="267" customWidth="1"/>
    <col min="4" max="4" width="7.5703125" style="267" customWidth="1"/>
    <col min="5" max="5" width="15.5703125" style="267" customWidth="1"/>
    <col min="6" max="6" width="13.42578125" style="267" customWidth="1"/>
    <col min="7" max="7" width="17.140625" style="267" customWidth="1"/>
    <col min="8" max="8" width="25.140625" style="267" customWidth="1"/>
    <col min="9" max="9" width="26" style="267" customWidth="1"/>
    <col min="10" max="10" width="31.85546875" style="267" customWidth="1"/>
    <col min="11" max="11" width="2.28515625" style="267" customWidth="1"/>
    <col min="12" max="12" width="9.140625" style="267" customWidth="1"/>
    <col min="13" max="13" width="18.42578125" style="267" hidden="1" customWidth="1"/>
    <col min="14" max="17" width="9.140625" style="267" hidden="1" customWidth="1"/>
    <col min="18" max="18" width="48.42578125" style="267" hidden="1" customWidth="1"/>
    <col min="19" max="60" width="9.140625" style="267" hidden="1" customWidth="1"/>
    <col min="61" max="256" width="9.140625" style="267" hidden="1"/>
    <col min="257" max="257" width="5.85546875" style="267" hidden="1"/>
    <col min="258" max="258" width="11.85546875" style="267" hidden="1"/>
    <col min="259" max="259" width="8.42578125" style="267" hidden="1"/>
    <col min="260" max="260" width="7.5703125" style="267" hidden="1"/>
    <col min="261" max="261" width="15.5703125" style="267" hidden="1"/>
    <col min="262" max="262" width="13.42578125" style="267" hidden="1"/>
    <col min="263" max="263" width="17.140625" style="267" hidden="1"/>
    <col min="264" max="264" width="25.140625" style="267" hidden="1"/>
    <col min="265" max="265" width="26" style="267" hidden="1"/>
    <col min="266" max="266" width="31.85546875" style="267" hidden="1"/>
    <col min="267" max="268" width="9.140625" style="267" hidden="1"/>
    <col min="269" max="269" width="18.42578125" style="267" hidden="1"/>
    <col min="270" max="512" width="9.140625" style="267" hidden="1"/>
    <col min="513" max="513" width="5.85546875" style="267" hidden="1"/>
    <col min="514" max="514" width="11.85546875" style="267" hidden="1"/>
    <col min="515" max="515" width="8.42578125" style="267" hidden="1"/>
    <col min="516" max="516" width="7.5703125" style="267" hidden="1"/>
    <col min="517" max="517" width="15.5703125" style="267" hidden="1"/>
    <col min="518" max="518" width="13.42578125" style="267" hidden="1"/>
    <col min="519" max="519" width="17.140625" style="267" hidden="1"/>
    <col min="520" max="520" width="25.140625" style="267" hidden="1"/>
    <col min="521" max="521" width="26" style="267" hidden="1"/>
    <col min="522" max="522" width="31.85546875" style="267" hidden="1"/>
    <col min="523" max="524" width="9.140625" style="267" hidden="1"/>
    <col min="525" max="525" width="18.42578125" style="267" hidden="1"/>
    <col min="526" max="768" width="9.140625" style="267" hidden="1"/>
    <col min="769" max="769" width="5.85546875" style="267" hidden="1"/>
    <col min="770" max="770" width="11.85546875" style="267" hidden="1"/>
    <col min="771" max="771" width="8.42578125" style="267" hidden="1"/>
    <col min="772" max="772" width="7.5703125" style="267" hidden="1"/>
    <col min="773" max="773" width="15.5703125" style="267" hidden="1"/>
    <col min="774" max="774" width="13.42578125" style="267" hidden="1"/>
    <col min="775" max="775" width="17.140625" style="267" hidden="1"/>
    <col min="776" max="776" width="25.140625" style="267" hidden="1"/>
    <col min="777" max="777" width="26" style="267" hidden="1"/>
    <col min="778" max="778" width="31.85546875" style="267" hidden="1"/>
    <col min="779" max="780" width="9.140625" style="267" hidden="1"/>
    <col min="781" max="781" width="18.42578125" style="267" hidden="1"/>
    <col min="782" max="1024" width="9.140625" style="267" hidden="1"/>
    <col min="1025" max="1025" width="5.85546875" style="267" hidden="1"/>
    <col min="1026" max="1026" width="11.85546875" style="267" hidden="1"/>
    <col min="1027" max="1027" width="8.42578125" style="267" hidden="1"/>
    <col min="1028" max="1028" width="7.5703125" style="267" hidden="1"/>
    <col min="1029" max="1029" width="15.5703125" style="267" hidden="1"/>
    <col min="1030" max="1030" width="13.42578125" style="267" hidden="1"/>
    <col min="1031" max="1031" width="17.140625" style="267" hidden="1"/>
    <col min="1032" max="1032" width="25.140625" style="267" hidden="1"/>
    <col min="1033" max="1033" width="26" style="267" hidden="1"/>
    <col min="1034" max="1034" width="31.85546875" style="267" hidden="1"/>
    <col min="1035" max="1036" width="9.140625" style="267" hidden="1"/>
    <col min="1037" max="1037" width="18.42578125" style="267" hidden="1"/>
    <col min="1038" max="1280" width="9.140625" style="267" hidden="1"/>
    <col min="1281" max="1281" width="5.85546875" style="267" hidden="1"/>
    <col min="1282" max="1282" width="11.85546875" style="267" hidden="1"/>
    <col min="1283" max="1283" width="8.42578125" style="267" hidden="1"/>
    <col min="1284" max="1284" width="7.5703125" style="267" hidden="1"/>
    <col min="1285" max="1285" width="15.5703125" style="267" hidden="1"/>
    <col min="1286" max="1286" width="13.42578125" style="267" hidden="1"/>
    <col min="1287" max="1287" width="17.140625" style="267" hidden="1"/>
    <col min="1288" max="1288" width="25.140625" style="267" hidden="1"/>
    <col min="1289" max="1289" width="26" style="267" hidden="1"/>
    <col min="1290" max="1290" width="31.85546875" style="267" hidden="1"/>
    <col min="1291" max="1292" width="9.140625" style="267" hidden="1"/>
    <col min="1293" max="1293" width="18.42578125" style="267" hidden="1"/>
    <col min="1294" max="1536" width="9.140625" style="267" hidden="1"/>
    <col min="1537" max="1537" width="5.85546875" style="267" hidden="1"/>
    <col min="1538" max="1538" width="11.85546875" style="267" hidden="1"/>
    <col min="1539" max="1539" width="8.42578125" style="267" hidden="1"/>
    <col min="1540" max="1540" width="7.5703125" style="267" hidden="1"/>
    <col min="1541" max="1541" width="15.5703125" style="267" hidden="1"/>
    <col min="1542" max="1542" width="13.42578125" style="267" hidden="1"/>
    <col min="1543" max="1543" width="17.140625" style="267" hidden="1"/>
    <col min="1544" max="1544" width="25.140625" style="267" hidden="1"/>
    <col min="1545" max="1545" width="26" style="267" hidden="1"/>
    <col min="1546" max="1546" width="31.85546875" style="267" hidden="1"/>
    <col min="1547" max="1548" width="9.140625" style="267" hidden="1"/>
    <col min="1549" max="1549" width="18.42578125" style="267" hidden="1"/>
    <col min="1550" max="1792" width="9.140625" style="267" hidden="1"/>
    <col min="1793" max="1793" width="5.85546875" style="267" hidden="1"/>
    <col min="1794" max="1794" width="11.85546875" style="267" hidden="1"/>
    <col min="1795" max="1795" width="8.42578125" style="267" hidden="1"/>
    <col min="1796" max="1796" width="7.5703125" style="267" hidden="1"/>
    <col min="1797" max="1797" width="15.5703125" style="267" hidden="1"/>
    <col min="1798" max="1798" width="13.42578125" style="267" hidden="1"/>
    <col min="1799" max="1799" width="17.140625" style="267" hidden="1"/>
    <col min="1800" max="1800" width="25.140625" style="267" hidden="1"/>
    <col min="1801" max="1801" width="26" style="267" hidden="1"/>
    <col min="1802" max="1802" width="31.85546875" style="267" hidden="1"/>
    <col min="1803" max="1804" width="9.140625" style="267" hidden="1"/>
    <col min="1805" max="1805" width="18.42578125" style="267" hidden="1"/>
    <col min="1806" max="2048" width="9.140625" style="267" hidden="1"/>
    <col min="2049" max="2049" width="5.85546875" style="267" hidden="1"/>
    <col min="2050" max="2050" width="11.85546875" style="267" hidden="1"/>
    <col min="2051" max="2051" width="8.42578125" style="267" hidden="1"/>
    <col min="2052" max="2052" width="7.5703125" style="267" hidden="1"/>
    <col min="2053" max="2053" width="15.5703125" style="267" hidden="1"/>
    <col min="2054" max="2054" width="13.42578125" style="267" hidden="1"/>
    <col min="2055" max="2055" width="17.140625" style="267" hidden="1"/>
    <col min="2056" max="2056" width="25.140625" style="267" hidden="1"/>
    <col min="2057" max="2057" width="26" style="267" hidden="1"/>
    <col min="2058" max="2058" width="31.85546875" style="267" hidden="1"/>
    <col min="2059" max="2060" width="9.140625" style="267" hidden="1"/>
    <col min="2061" max="2061" width="18.42578125" style="267" hidden="1"/>
    <col min="2062" max="2304" width="9.140625" style="267" hidden="1"/>
    <col min="2305" max="2305" width="5.85546875" style="267" hidden="1"/>
    <col min="2306" max="2306" width="11.85546875" style="267" hidden="1"/>
    <col min="2307" max="2307" width="8.42578125" style="267" hidden="1"/>
    <col min="2308" max="2308" width="7.5703125" style="267" hidden="1"/>
    <col min="2309" max="2309" width="15.5703125" style="267" hidden="1"/>
    <col min="2310" max="2310" width="13.42578125" style="267" hidden="1"/>
    <col min="2311" max="2311" width="17.140625" style="267" hidden="1"/>
    <col min="2312" max="2312" width="25.140625" style="267" hidden="1"/>
    <col min="2313" max="2313" width="26" style="267" hidden="1"/>
    <col min="2314" max="2314" width="31.85546875" style="267" hidden="1"/>
    <col min="2315" max="2316" width="9.140625" style="267" hidden="1"/>
    <col min="2317" max="2317" width="18.42578125" style="267" hidden="1"/>
    <col min="2318" max="2560" width="9.140625" style="267" hidden="1"/>
    <col min="2561" max="2561" width="5.85546875" style="267" hidden="1"/>
    <col min="2562" max="2562" width="11.85546875" style="267" hidden="1"/>
    <col min="2563" max="2563" width="8.42578125" style="267" hidden="1"/>
    <col min="2564" max="2564" width="7.5703125" style="267" hidden="1"/>
    <col min="2565" max="2565" width="15.5703125" style="267" hidden="1"/>
    <col min="2566" max="2566" width="13.42578125" style="267" hidden="1"/>
    <col min="2567" max="2567" width="17.140625" style="267" hidden="1"/>
    <col min="2568" max="2568" width="25.140625" style="267" hidden="1"/>
    <col min="2569" max="2569" width="26" style="267" hidden="1"/>
    <col min="2570" max="2570" width="31.85546875" style="267" hidden="1"/>
    <col min="2571" max="2572" width="9.140625" style="267" hidden="1"/>
    <col min="2573" max="2573" width="18.42578125" style="267" hidden="1"/>
    <col min="2574" max="2816" width="9.140625" style="267" hidden="1"/>
    <col min="2817" max="2817" width="5.85546875" style="267" hidden="1"/>
    <col min="2818" max="2818" width="11.85546875" style="267" hidden="1"/>
    <col min="2819" max="2819" width="8.42578125" style="267" hidden="1"/>
    <col min="2820" max="2820" width="7.5703125" style="267" hidden="1"/>
    <col min="2821" max="2821" width="15.5703125" style="267" hidden="1"/>
    <col min="2822" max="2822" width="13.42578125" style="267" hidden="1"/>
    <col min="2823" max="2823" width="17.140625" style="267" hidden="1"/>
    <col min="2824" max="2824" width="25.140625" style="267" hidden="1"/>
    <col min="2825" max="2825" width="26" style="267" hidden="1"/>
    <col min="2826" max="2826" width="31.85546875" style="267" hidden="1"/>
    <col min="2827" max="2828" width="9.140625" style="267" hidden="1"/>
    <col min="2829" max="2829" width="18.42578125" style="267" hidden="1"/>
    <col min="2830" max="3072" width="9.140625" style="267" hidden="1"/>
    <col min="3073" max="3073" width="5.85546875" style="267" hidden="1"/>
    <col min="3074" max="3074" width="11.85546875" style="267" hidden="1"/>
    <col min="3075" max="3075" width="8.42578125" style="267" hidden="1"/>
    <col min="3076" max="3076" width="7.5703125" style="267" hidden="1"/>
    <col min="3077" max="3077" width="15.5703125" style="267" hidden="1"/>
    <col min="3078" max="3078" width="13.42578125" style="267" hidden="1"/>
    <col min="3079" max="3079" width="17.140625" style="267" hidden="1"/>
    <col min="3080" max="3080" width="25.140625" style="267" hidden="1"/>
    <col min="3081" max="3081" width="26" style="267" hidden="1"/>
    <col min="3082" max="3082" width="31.85546875" style="267" hidden="1"/>
    <col min="3083" max="3084" width="9.140625" style="267" hidden="1"/>
    <col min="3085" max="3085" width="18.42578125" style="267" hidden="1"/>
    <col min="3086" max="3328" width="9.140625" style="267" hidden="1"/>
    <col min="3329" max="3329" width="5.85546875" style="267" hidden="1"/>
    <col min="3330" max="3330" width="11.85546875" style="267" hidden="1"/>
    <col min="3331" max="3331" width="8.42578125" style="267" hidden="1"/>
    <col min="3332" max="3332" width="7.5703125" style="267" hidden="1"/>
    <col min="3333" max="3333" width="15.5703125" style="267" hidden="1"/>
    <col min="3334" max="3334" width="13.42578125" style="267" hidden="1"/>
    <col min="3335" max="3335" width="17.140625" style="267" hidden="1"/>
    <col min="3336" max="3336" width="25.140625" style="267" hidden="1"/>
    <col min="3337" max="3337" width="26" style="267" hidden="1"/>
    <col min="3338" max="3338" width="31.85546875" style="267" hidden="1"/>
    <col min="3339" max="3340" width="9.140625" style="267" hidden="1"/>
    <col min="3341" max="3341" width="18.42578125" style="267" hidden="1"/>
    <col min="3342" max="3584" width="9.140625" style="267" hidden="1"/>
    <col min="3585" max="3585" width="5.85546875" style="267" hidden="1"/>
    <col min="3586" max="3586" width="11.85546875" style="267" hidden="1"/>
    <col min="3587" max="3587" width="8.42578125" style="267" hidden="1"/>
    <col min="3588" max="3588" width="7.5703125" style="267" hidden="1"/>
    <col min="3589" max="3589" width="15.5703125" style="267" hidden="1"/>
    <col min="3590" max="3590" width="13.42578125" style="267" hidden="1"/>
    <col min="3591" max="3591" width="17.140625" style="267" hidden="1"/>
    <col min="3592" max="3592" width="25.140625" style="267" hidden="1"/>
    <col min="3593" max="3593" width="26" style="267" hidden="1"/>
    <col min="3594" max="3594" width="31.85546875" style="267" hidden="1"/>
    <col min="3595" max="3596" width="9.140625" style="267" hidden="1"/>
    <col min="3597" max="3597" width="18.42578125" style="267" hidden="1"/>
    <col min="3598" max="3840" width="9.140625" style="267" hidden="1"/>
    <col min="3841" max="3841" width="5.85546875" style="267" hidden="1"/>
    <col min="3842" max="3842" width="11.85546875" style="267" hidden="1"/>
    <col min="3843" max="3843" width="8.42578125" style="267" hidden="1"/>
    <col min="3844" max="3844" width="7.5703125" style="267" hidden="1"/>
    <col min="3845" max="3845" width="15.5703125" style="267" hidden="1"/>
    <col min="3846" max="3846" width="13.42578125" style="267" hidden="1"/>
    <col min="3847" max="3847" width="17.140625" style="267" hidden="1"/>
    <col min="3848" max="3848" width="25.140625" style="267" hidden="1"/>
    <col min="3849" max="3849" width="26" style="267" hidden="1"/>
    <col min="3850" max="3850" width="31.85546875" style="267" hidden="1"/>
    <col min="3851" max="3852" width="9.140625" style="267" hidden="1"/>
    <col min="3853" max="3853" width="18.42578125" style="267" hidden="1"/>
    <col min="3854" max="4096" width="9.140625" style="267" hidden="1"/>
    <col min="4097" max="4097" width="5.85546875" style="267" hidden="1"/>
    <col min="4098" max="4098" width="11.85546875" style="267" hidden="1"/>
    <col min="4099" max="4099" width="8.42578125" style="267" hidden="1"/>
    <col min="4100" max="4100" width="7.5703125" style="267" hidden="1"/>
    <col min="4101" max="4101" width="15.5703125" style="267" hidden="1"/>
    <col min="4102" max="4102" width="13.42578125" style="267" hidden="1"/>
    <col min="4103" max="4103" width="17.140625" style="267" hidden="1"/>
    <col min="4104" max="4104" width="25.140625" style="267" hidden="1"/>
    <col min="4105" max="4105" width="26" style="267" hidden="1"/>
    <col min="4106" max="4106" width="31.85546875" style="267" hidden="1"/>
    <col min="4107" max="4108" width="9.140625" style="267" hidden="1"/>
    <col min="4109" max="4109" width="18.42578125" style="267" hidden="1"/>
    <col min="4110" max="4352" width="9.140625" style="267" hidden="1"/>
    <col min="4353" max="4353" width="5.85546875" style="267" hidden="1"/>
    <col min="4354" max="4354" width="11.85546875" style="267" hidden="1"/>
    <col min="4355" max="4355" width="8.42578125" style="267" hidden="1"/>
    <col min="4356" max="4356" width="7.5703125" style="267" hidden="1"/>
    <col min="4357" max="4357" width="15.5703125" style="267" hidden="1"/>
    <col min="4358" max="4358" width="13.42578125" style="267" hidden="1"/>
    <col min="4359" max="4359" width="17.140625" style="267" hidden="1"/>
    <col min="4360" max="4360" width="25.140625" style="267" hidden="1"/>
    <col min="4361" max="4361" width="26" style="267" hidden="1"/>
    <col min="4362" max="4362" width="31.85546875" style="267" hidden="1"/>
    <col min="4363" max="4364" width="9.140625" style="267" hidden="1"/>
    <col min="4365" max="4365" width="18.42578125" style="267" hidden="1"/>
    <col min="4366" max="4608" width="9.140625" style="267" hidden="1"/>
    <col min="4609" max="4609" width="5.85546875" style="267" hidden="1"/>
    <col min="4610" max="4610" width="11.85546875" style="267" hidden="1"/>
    <col min="4611" max="4611" width="8.42578125" style="267" hidden="1"/>
    <col min="4612" max="4612" width="7.5703125" style="267" hidden="1"/>
    <col min="4613" max="4613" width="15.5703125" style="267" hidden="1"/>
    <col min="4614" max="4614" width="13.42578125" style="267" hidden="1"/>
    <col min="4615" max="4615" width="17.140625" style="267" hidden="1"/>
    <col min="4616" max="4616" width="25.140625" style="267" hidden="1"/>
    <col min="4617" max="4617" width="26" style="267" hidden="1"/>
    <col min="4618" max="4618" width="31.85546875" style="267" hidden="1"/>
    <col min="4619" max="4620" width="9.140625" style="267" hidden="1"/>
    <col min="4621" max="4621" width="18.42578125" style="267" hidden="1"/>
    <col min="4622" max="4864" width="9.140625" style="267" hidden="1"/>
    <col min="4865" max="4865" width="5.85546875" style="267" hidden="1"/>
    <col min="4866" max="4866" width="11.85546875" style="267" hidden="1"/>
    <col min="4867" max="4867" width="8.42578125" style="267" hidden="1"/>
    <col min="4868" max="4868" width="7.5703125" style="267" hidden="1"/>
    <col min="4869" max="4869" width="15.5703125" style="267" hidden="1"/>
    <col min="4870" max="4870" width="13.42578125" style="267" hidden="1"/>
    <col min="4871" max="4871" width="17.140625" style="267" hidden="1"/>
    <col min="4872" max="4872" width="25.140625" style="267" hidden="1"/>
    <col min="4873" max="4873" width="26" style="267" hidden="1"/>
    <col min="4874" max="4874" width="31.85546875" style="267" hidden="1"/>
    <col min="4875" max="4876" width="9.140625" style="267" hidden="1"/>
    <col min="4877" max="4877" width="18.42578125" style="267" hidden="1"/>
    <col min="4878" max="5120" width="9.140625" style="267" hidden="1"/>
    <col min="5121" max="5121" width="5.85546875" style="267" hidden="1"/>
    <col min="5122" max="5122" width="11.85546875" style="267" hidden="1"/>
    <col min="5123" max="5123" width="8.42578125" style="267" hidden="1"/>
    <col min="5124" max="5124" width="7.5703125" style="267" hidden="1"/>
    <col min="5125" max="5125" width="15.5703125" style="267" hidden="1"/>
    <col min="5126" max="5126" width="13.42578125" style="267" hidden="1"/>
    <col min="5127" max="5127" width="17.140625" style="267" hidden="1"/>
    <col min="5128" max="5128" width="25.140625" style="267" hidden="1"/>
    <col min="5129" max="5129" width="26" style="267" hidden="1"/>
    <col min="5130" max="5130" width="31.85546875" style="267" hidden="1"/>
    <col min="5131" max="5132" width="9.140625" style="267" hidden="1"/>
    <col min="5133" max="5133" width="18.42578125" style="267" hidden="1"/>
    <col min="5134" max="5376" width="9.140625" style="267" hidden="1"/>
    <col min="5377" max="5377" width="5.85546875" style="267" hidden="1"/>
    <col min="5378" max="5378" width="11.85546875" style="267" hidden="1"/>
    <col min="5379" max="5379" width="8.42578125" style="267" hidden="1"/>
    <col min="5380" max="5380" width="7.5703125" style="267" hidden="1"/>
    <col min="5381" max="5381" width="15.5703125" style="267" hidden="1"/>
    <col min="5382" max="5382" width="13.42578125" style="267" hidden="1"/>
    <col min="5383" max="5383" width="17.140625" style="267" hidden="1"/>
    <col min="5384" max="5384" width="25.140625" style="267" hidden="1"/>
    <col min="5385" max="5385" width="26" style="267" hidden="1"/>
    <col min="5386" max="5386" width="31.85546875" style="267" hidden="1"/>
    <col min="5387" max="5388" width="9.140625" style="267" hidden="1"/>
    <col min="5389" max="5389" width="18.42578125" style="267" hidden="1"/>
    <col min="5390" max="5632" width="9.140625" style="267" hidden="1"/>
    <col min="5633" max="5633" width="5.85546875" style="267" hidden="1"/>
    <col min="5634" max="5634" width="11.85546875" style="267" hidden="1"/>
    <col min="5635" max="5635" width="8.42578125" style="267" hidden="1"/>
    <col min="5636" max="5636" width="7.5703125" style="267" hidden="1"/>
    <col min="5637" max="5637" width="15.5703125" style="267" hidden="1"/>
    <col min="5638" max="5638" width="13.42578125" style="267" hidden="1"/>
    <col min="5639" max="5639" width="17.140625" style="267" hidden="1"/>
    <col min="5640" max="5640" width="25.140625" style="267" hidden="1"/>
    <col min="5641" max="5641" width="26" style="267" hidden="1"/>
    <col min="5642" max="5642" width="31.85546875" style="267" hidden="1"/>
    <col min="5643" max="5644" width="9.140625" style="267" hidden="1"/>
    <col min="5645" max="5645" width="18.42578125" style="267" hidden="1"/>
    <col min="5646" max="5888" width="9.140625" style="267" hidden="1"/>
    <col min="5889" max="5889" width="5.85546875" style="267" hidden="1"/>
    <col min="5890" max="5890" width="11.85546875" style="267" hidden="1"/>
    <col min="5891" max="5891" width="8.42578125" style="267" hidden="1"/>
    <col min="5892" max="5892" width="7.5703125" style="267" hidden="1"/>
    <col min="5893" max="5893" width="15.5703125" style="267" hidden="1"/>
    <col min="5894" max="5894" width="13.42578125" style="267" hidden="1"/>
    <col min="5895" max="5895" width="17.140625" style="267" hidden="1"/>
    <col min="5896" max="5896" width="25.140625" style="267" hidden="1"/>
    <col min="5897" max="5897" width="26" style="267" hidden="1"/>
    <col min="5898" max="5898" width="31.85546875" style="267" hidden="1"/>
    <col min="5899" max="5900" width="9.140625" style="267" hidden="1"/>
    <col min="5901" max="5901" width="18.42578125" style="267" hidden="1"/>
    <col min="5902" max="6144" width="9.140625" style="267" hidden="1"/>
    <col min="6145" max="6145" width="5.85546875" style="267" hidden="1"/>
    <col min="6146" max="6146" width="11.85546875" style="267" hidden="1"/>
    <col min="6147" max="6147" width="8.42578125" style="267" hidden="1"/>
    <col min="6148" max="6148" width="7.5703125" style="267" hidden="1"/>
    <col min="6149" max="6149" width="15.5703125" style="267" hidden="1"/>
    <col min="6150" max="6150" width="13.42578125" style="267" hidden="1"/>
    <col min="6151" max="6151" width="17.140625" style="267" hidden="1"/>
    <col min="6152" max="6152" width="25.140625" style="267" hidden="1"/>
    <col min="6153" max="6153" width="26" style="267" hidden="1"/>
    <col min="6154" max="6154" width="31.85546875" style="267" hidden="1"/>
    <col min="6155" max="6156" width="9.140625" style="267" hidden="1"/>
    <col min="6157" max="6157" width="18.42578125" style="267" hidden="1"/>
    <col min="6158" max="6400" width="9.140625" style="267" hidden="1"/>
    <col min="6401" max="6401" width="5.85546875" style="267" hidden="1"/>
    <col min="6402" max="6402" width="11.85546875" style="267" hidden="1"/>
    <col min="6403" max="6403" width="8.42578125" style="267" hidden="1"/>
    <col min="6404" max="6404" width="7.5703125" style="267" hidden="1"/>
    <col min="6405" max="6405" width="15.5703125" style="267" hidden="1"/>
    <col min="6406" max="6406" width="13.42578125" style="267" hidden="1"/>
    <col min="6407" max="6407" width="17.140625" style="267" hidden="1"/>
    <col min="6408" max="6408" width="25.140625" style="267" hidden="1"/>
    <col min="6409" max="6409" width="26" style="267" hidden="1"/>
    <col min="6410" max="6410" width="31.85546875" style="267" hidden="1"/>
    <col min="6411" max="6412" width="9.140625" style="267" hidden="1"/>
    <col min="6413" max="6413" width="18.42578125" style="267" hidden="1"/>
    <col min="6414" max="6656" width="9.140625" style="267" hidden="1"/>
    <col min="6657" max="6657" width="5.85546875" style="267" hidden="1"/>
    <col min="6658" max="6658" width="11.85546875" style="267" hidden="1"/>
    <col min="6659" max="6659" width="8.42578125" style="267" hidden="1"/>
    <col min="6660" max="6660" width="7.5703125" style="267" hidden="1"/>
    <col min="6661" max="6661" width="15.5703125" style="267" hidden="1"/>
    <col min="6662" max="6662" width="13.42578125" style="267" hidden="1"/>
    <col min="6663" max="6663" width="17.140625" style="267" hidden="1"/>
    <col min="6664" max="6664" width="25.140625" style="267" hidden="1"/>
    <col min="6665" max="6665" width="26" style="267" hidden="1"/>
    <col min="6666" max="6666" width="31.85546875" style="267" hidden="1"/>
    <col min="6667" max="6668" width="9.140625" style="267" hidden="1"/>
    <col min="6669" max="6669" width="18.42578125" style="267" hidden="1"/>
    <col min="6670" max="6912" width="9.140625" style="267" hidden="1"/>
    <col min="6913" max="6913" width="5.85546875" style="267" hidden="1"/>
    <col min="6914" max="6914" width="11.85546875" style="267" hidden="1"/>
    <col min="6915" max="6915" width="8.42578125" style="267" hidden="1"/>
    <col min="6916" max="6916" width="7.5703125" style="267" hidden="1"/>
    <col min="6917" max="6917" width="15.5703125" style="267" hidden="1"/>
    <col min="6918" max="6918" width="13.42578125" style="267" hidden="1"/>
    <col min="6919" max="6919" width="17.140625" style="267" hidden="1"/>
    <col min="6920" max="6920" width="25.140625" style="267" hidden="1"/>
    <col min="6921" max="6921" width="26" style="267" hidden="1"/>
    <col min="6922" max="6922" width="31.85546875" style="267" hidden="1"/>
    <col min="6923" max="6924" width="9.140625" style="267" hidden="1"/>
    <col min="6925" max="6925" width="18.42578125" style="267" hidden="1"/>
    <col min="6926" max="7168" width="9.140625" style="267" hidden="1"/>
    <col min="7169" max="7169" width="5.85546875" style="267" hidden="1"/>
    <col min="7170" max="7170" width="11.85546875" style="267" hidden="1"/>
    <col min="7171" max="7171" width="8.42578125" style="267" hidden="1"/>
    <col min="7172" max="7172" width="7.5703125" style="267" hidden="1"/>
    <col min="7173" max="7173" width="15.5703125" style="267" hidden="1"/>
    <col min="7174" max="7174" width="13.42578125" style="267" hidden="1"/>
    <col min="7175" max="7175" width="17.140625" style="267" hidden="1"/>
    <col min="7176" max="7176" width="25.140625" style="267" hidden="1"/>
    <col min="7177" max="7177" width="26" style="267" hidden="1"/>
    <col min="7178" max="7178" width="31.85546875" style="267" hidden="1"/>
    <col min="7179" max="7180" width="9.140625" style="267" hidden="1"/>
    <col min="7181" max="7181" width="18.42578125" style="267" hidden="1"/>
    <col min="7182" max="7424" width="9.140625" style="267" hidden="1"/>
    <col min="7425" max="7425" width="5.85546875" style="267" hidden="1"/>
    <col min="7426" max="7426" width="11.85546875" style="267" hidden="1"/>
    <col min="7427" max="7427" width="8.42578125" style="267" hidden="1"/>
    <col min="7428" max="7428" width="7.5703125" style="267" hidden="1"/>
    <col min="7429" max="7429" width="15.5703125" style="267" hidden="1"/>
    <col min="7430" max="7430" width="13.42578125" style="267" hidden="1"/>
    <col min="7431" max="7431" width="17.140625" style="267" hidden="1"/>
    <col min="7432" max="7432" width="25.140625" style="267" hidden="1"/>
    <col min="7433" max="7433" width="26" style="267" hidden="1"/>
    <col min="7434" max="7434" width="31.85546875" style="267" hidden="1"/>
    <col min="7435" max="7436" width="9.140625" style="267" hidden="1"/>
    <col min="7437" max="7437" width="18.42578125" style="267" hidden="1"/>
    <col min="7438" max="7680" width="9.140625" style="267" hidden="1"/>
    <col min="7681" max="7681" width="5.85546875" style="267" hidden="1"/>
    <col min="7682" max="7682" width="11.85546875" style="267" hidden="1"/>
    <col min="7683" max="7683" width="8.42578125" style="267" hidden="1"/>
    <col min="7684" max="7684" width="7.5703125" style="267" hidden="1"/>
    <col min="7685" max="7685" width="15.5703125" style="267" hidden="1"/>
    <col min="7686" max="7686" width="13.42578125" style="267" hidden="1"/>
    <col min="7687" max="7687" width="17.140625" style="267" hidden="1"/>
    <col min="7688" max="7688" width="25.140625" style="267" hidden="1"/>
    <col min="7689" max="7689" width="26" style="267" hidden="1"/>
    <col min="7690" max="7690" width="31.85546875" style="267" hidden="1"/>
    <col min="7691" max="7692" width="9.140625" style="267" hidden="1"/>
    <col min="7693" max="7693" width="18.42578125" style="267" hidden="1"/>
    <col min="7694" max="7936" width="9.140625" style="267" hidden="1"/>
    <col min="7937" max="7937" width="5.85546875" style="267" hidden="1"/>
    <col min="7938" max="7938" width="11.85546875" style="267" hidden="1"/>
    <col min="7939" max="7939" width="8.42578125" style="267" hidden="1"/>
    <col min="7940" max="7940" width="7.5703125" style="267" hidden="1"/>
    <col min="7941" max="7941" width="15.5703125" style="267" hidden="1"/>
    <col min="7942" max="7942" width="13.42578125" style="267" hidden="1"/>
    <col min="7943" max="7943" width="17.140625" style="267" hidden="1"/>
    <col min="7944" max="7944" width="25.140625" style="267" hidden="1"/>
    <col min="7945" max="7945" width="26" style="267" hidden="1"/>
    <col min="7946" max="7946" width="31.85546875" style="267" hidden="1"/>
    <col min="7947" max="7948" width="9.140625" style="267" hidden="1"/>
    <col min="7949" max="7949" width="18.42578125" style="267" hidden="1"/>
    <col min="7950" max="8192" width="9.140625" style="267" hidden="1"/>
    <col min="8193" max="8193" width="5.85546875" style="267" hidden="1"/>
    <col min="8194" max="8194" width="11.85546875" style="267" hidden="1"/>
    <col min="8195" max="8195" width="8.42578125" style="267" hidden="1"/>
    <col min="8196" max="8196" width="7.5703125" style="267" hidden="1"/>
    <col min="8197" max="8197" width="15.5703125" style="267" hidden="1"/>
    <col min="8198" max="8198" width="13.42578125" style="267" hidden="1"/>
    <col min="8199" max="8199" width="17.140625" style="267" hidden="1"/>
    <col min="8200" max="8200" width="25.140625" style="267" hidden="1"/>
    <col min="8201" max="8201" width="26" style="267" hidden="1"/>
    <col min="8202" max="8202" width="31.85546875" style="267" hidden="1"/>
    <col min="8203" max="8204" width="9.140625" style="267" hidden="1"/>
    <col min="8205" max="8205" width="18.42578125" style="267" hidden="1"/>
    <col min="8206" max="8448" width="9.140625" style="267" hidden="1"/>
    <col min="8449" max="8449" width="5.85546875" style="267" hidden="1"/>
    <col min="8450" max="8450" width="11.85546875" style="267" hidden="1"/>
    <col min="8451" max="8451" width="8.42578125" style="267" hidden="1"/>
    <col min="8452" max="8452" width="7.5703125" style="267" hidden="1"/>
    <col min="8453" max="8453" width="15.5703125" style="267" hidden="1"/>
    <col min="8454" max="8454" width="13.42578125" style="267" hidden="1"/>
    <col min="8455" max="8455" width="17.140625" style="267" hidden="1"/>
    <col min="8456" max="8456" width="25.140625" style="267" hidden="1"/>
    <col min="8457" max="8457" width="26" style="267" hidden="1"/>
    <col min="8458" max="8458" width="31.85546875" style="267" hidden="1"/>
    <col min="8459" max="8460" width="9.140625" style="267" hidden="1"/>
    <col min="8461" max="8461" width="18.42578125" style="267" hidden="1"/>
    <col min="8462" max="8704" width="9.140625" style="267" hidden="1"/>
    <col min="8705" max="8705" width="5.85546875" style="267" hidden="1"/>
    <col min="8706" max="8706" width="11.85546875" style="267" hidden="1"/>
    <col min="8707" max="8707" width="8.42578125" style="267" hidden="1"/>
    <col min="8708" max="8708" width="7.5703125" style="267" hidden="1"/>
    <col min="8709" max="8709" width="15.5703125" style="267" hidden="1"/>
    <col min="8710" max="8710" width="13.42578125" style="267" hidden="1"/>
    <col min="8711" max="8711" width="17.140625" style="267" hidden="1"/>
    <col min="8712" max="8712" width="25.140625" style="267" hidden="1"/>
    <col min="8713" max="8713" width="26" style="267" hidden="1"/>
    <col min="8714" max="8714" width="31.85546875" style="267" hidden="1"/>
    <col min="8715" max="8716" width="9.140625" style="267" hidden="1"/>
    <col min="8717" max="8717" width="18.42578125" style="267" hidden="1"/>
    <col min="8718" max="8960" width="9.140625" style="267" hidden="1"/>
    <col min="8961" max="8961" width="5.85546875" style="267" hidden="1"/>
    <col min="8962" max="8962" width="11.85546875" style="267" hidden="1"/>
    <col min="8963" max="8963" width="8.42578125" style="267" hidden="1"/>
    <col min="8964" max="8964" width="7.5703125" style="267" hidden="1"/>
    <col min="8965" max="8965" width="15.5703125" style="267" hidden="1"/>
    <col min="8966" max="8966" width="13.42578125" style="267" hidden="1"/>
    <col min="8967" max="8967" width="17.140625" style="267" hidden="1"/>
    <col min="8968" max="8968" width="25.140625" style="267" hidden="1"/>
    <col min="8969" max="8969" width="26" style="267" hidden="1"/>
    <col min="8970" max="8970" width="31.85546875" style="267" hidden="1"/>
    <col min="8971" max="8972" width="9.140625" style="267" hidden="1"/>
    <col min="8973" max="8973" width="18.42578125" style="267" hidden="1"/>
    <col min="8974" max="9216" width="9.140625" style="267" hidden="1"/>
    <col min="9217" max="9217" width="5.85546875" style="267" hidden="1"/>
    <col min="9218" max="9218" width="11.85546875" style="267" hidden="1"/>
    <col min="9219" max="9219" width="8.42578125" style="267" hidden="1"/>
    <col min="9220" max="9220" width="7.5703125" style="267" hidden="1"/>
    <col min="9221" max="9221" width="15.5703125" style="267" hidden="1"/>
    <col min="9222" max="9222" width="13.42578125" style="267" hidden="1"/>
    <col min="9223" max="9223" width="17.140625" style="267" hidden="1"/>
    <col min="9224" max="9224" width="25.140625" style="267" hidden="1"/>
    <col min="9225" max="9225" width="26" style="267" hidden="1"/>
    <col min="9226" max="9226" width="31.85546875" style="267" hidden="1"/>
    <col min="9227" max="9228" width="9.140625" style="267" hidden="1"/>
    <col min="9229" max="9229" width="18.42578125" style="267" hidden="1"/>
    <col min="9230" max="9472" width="9.140625" style="267" hidden="1"/>
    <col min="9473" max="9473" width="5.85546875" style="267" hidden="1"/>
    <col min="9474" max="9474" width="11.85546875" style="267" hidden="1"/>
    <col min="9475" max="9475" width="8.42578125" style="267" hidden="1"/>
    <col min="9476" max="9476" width="7.5703125" style="267" hidden="1"/>
    <col min="9477" max="9477" width="15.5703125" style="267" hidden="1"/>
    <col min="9478" max="9478" width="13.42578125" style="267" hidden="1"/>
    <col min="9479" max="9479" width="17.140625" style="267" hidden="1"/>
    <col min="9480" max="9480" width="25.140625" style="267" hidden="1"/>
    <col min="9481" max="9481" width="26" style="267" hidden="1"/>
    <col min="9482" max="9482" width="31.85546875" style="267" hidden="1"/>
    <col min="9483" max="9484" width="9.140625" style="267" hidden="1"/>
    <col min="9485" max="9485" width="18.42578125" style="267" hidden="1"/>
    <col min="9486" max="9728" width="9.140625" style="267" hidden="1"/>
    <col min="9729" max="9729" width="5.85546875" style="267" hidden="1"/>
    <col min="9730" max="9730" width="11.85546875" style="267" hidden="1"/>
    <col min="9731" max="9731" width="8.42578125" style="267" hidden="1"/>
    <col min="9732" max="9732" width="7.5703125" style="267" hidden="1"/>
    <col min="9733" max="9733" width="15.5703125" style="267" hidden="1"/>
    <col min="9734" max="9734" width="13.42578125" style="267" hidden="1"/>
    <col min="9735" max="9735" width="17.140625" style="267" hidden="1"/>
    <col min="9736" max="9736" width="25.140625" style="267" hidden="1"/>
    <col min="9737" max="9737" width="26" style="267" hidden="1"/>
    <col min="9738" max="9738" width="31.85546875" style="267" hidden="1"/>
    <col min="9739" max="9740" width="9.140625" style="267" hidden="1"/>
    <col min="9741" max="9741" width="18.42578125" style="267" hidden="1"/>
    <col min="9742" max="9984" width="9.140625" style="267" hidden="1"/>
    <col min="9985" max="9985" width="5.85546875" style="267" hidden="1"/>
    <col min="9986" max="9986" width="11.85546875" style="267" hidden="1"/>
    <col min="9987" max="9987" width="8.42578125" style="267" hidden="1"/>
    <col min="9988" max="9988" width="7.5703125" style="267" hidden="1"/>
    <col min="9989" max="9989" width="15.5703125" style="267" hidden="1"/>
    <col min="9990" max="9990" width="13.42578125" style="267" hidden="1"/>
    <col min="9991" max="9991" width="17.140625" style="267" hidden="1"/>
    <col min="9992" max="9992" width="25.140625" style="267" hidden="1"/>
    <col min="9993" max="9993" width="26" style="267" hidden="1"/>
    <col min="9994" max="9994" width="31.85546875" style="267" hidden="1"/>
    <col min="9995" max="9996" width="9.140625" style="267" hidden="1"/>
    <col min="9997" max="9997" width="18.42578125" style="267" hidden="1"/>
    <col min="9998" max="10240" width="9.140625" style="267" hidden="1"/>
    <col min="10241" max="10241" width="5.85546875" style="267" hidden="1"/>
    <col min="10242" max="10242" width="11.85546875" style="267" hidden="1"/>
    <col min="10243" max="10243" width="8.42578125" style="267" hidden="1"/>
    <col min="10244" max="10244" width="7.5703125" style="267" hidden="1"/>
    <col min="10245" max="10245" width="15.5703125" style="267" hidden="1"/>
    <col min="10246" max="10246" width="13.42578125" style="267" hidden="1"/>
    <col min="10247" max="10247" width="17.140625" style="267" hidden="1"/>
    <col min="10248" max="10248" width="25.140625" style="267" hidden="1"/>
    <col min="10249" max="10249" width="26" style="267" hidden="1"/>
    <col min="10250" max="10250" width="31.85546875" style="267" hidden="1"/>
    <col min="10251" max="10252" width="9.140625" style="267" hidden="1"/>
    <col min="10253" max="10253" width="18.42578125" style="267" hidden="1"/>
    <col min="10254" max="10496" width="9.140625" style="267" hidden="1"/>
    <col min="10497" max="10497" width="5.85546875" style="267" hidden="1"/>
    <col min="10498" max="10498" width="11.85546875" style="267" hidden="1"/>
    <col min="10499" max="10499" width="8.42578125" style="267" hidden="1"/>
    <col min="10500" max="10500" width="7.5703125" style="267" hidden="1"/>
    <col min="10501" max="10501" width="15.5703125" style="267" hidden="1"/>
    <col min="10502" max="10502" width="13.42578125" style="267" hidden="1"/>
    <col min="10503" max="10503" width="17.140625" style="267" hidden="1"/>
    <col min="10504" max="10504" width="25.140625" style="267" hidden="1"/>
    <col min="10505" max="10505" width="26" style="267" hidden="1"/>
    <col min="10506" max="10506" width="31.85546875" style="267" hidden="1"/>
    <col min="10507" max="10508" width="9.140625" style="267" hidden="1"/>
    <col min="10509" max="10509" width="18.42578125" style="267" hidden="1"/>
    <col min="10510" max="10752" width="9.140625" style="267" hidden="1"/>
    <col min="10753" max="10753" width="5.85546875" style="267" hidden="1"/>
    <col min="10754" max="10754" width="11.85546875" style="267" hidden="1"/>
    <col min="10755" max="10755" width="8.42578125" style="267" hidden="1"/>
    <col min="10756" max="10756" width="7.5703125" style="267" hidden="1"/>
    <col min="10757" max="10757" width="15.5703125" style="267" hidden="1"/>
    <col min="10758" max="10758" width="13.42578125" style="267" hidden="1"/>
    <col min="10759" max="10759" width="17.140625" style="267" hidden="1"/>
    <col min="10760" max="10760" width="25.140625" style="267" hidden="1"/>
    <col min="10761" max="10761" width="26" style="267" hidden="1"/>
    <col min="10762" max="10762" width="31.85546875" style="267" hidden="1"/>
    <col min="10763" max="10764" width="9.140625" style="267" hidden="1"/>
    <col min="10765" max="10765" width="18.42578125" style="267" hidden="1"/>
    <col min="10766" max="11008" width="9.140625" style="267" hidden="1"/>
    <col min="11009" max="11009" width="5.85546875" style="267" hidden="1"/>
    <col min="11010" max="11010" width="11.85546875" style="267" hidden="1"/>
    <col min="11011" max="11011" width="8.42578125" style="267" hidden="1"/>
    <col min="11012" max="11012" width="7.5703125" style="267" hidden="1"/>
    <col min="11013" max="11013" width="15.5703125" style="267" hidden="1"/>
    <col min="11014" max="11014" width="13.42578125" style="267" hidden="1"/>
    <col min="11015" max="11015" width="17.140625" style="267" hidden="1"/>
    <col min="11016" max="11016" width="25.140625" style="267" hidden="1"/>
    <col min="11017" max="11017" width="26" style="267" hidden="1"/>
    <col min="11018" max="11018" width="31.85546875" style="267" hidden="1"/>
    <col min="11019" max="11020" width="9.140625" style="267" hidden="1"/>
    <col min="11021" max="11021" width="18.42578125" style="267" hidden="1"/>
    <col min="11022" max="11264" width="9.140625" style="267" hidden="1"/>
    <col min="11265" max="11265" width="5.85546875" style="267" hidden="1"/>
    <col min="11266" max="11266" width="11.85546875" style="267" hidden="1"/>
    <col min="11267" max="11267" width="8.42578125" style="267" hidden="1"/>
    <col min="11268" max="11268" width="7.5703125" style="267" hidden="1"/>
    <col min="11269" max="11269" width="15.5703125" style="267" hidden="1"/>
    <col min="11270" max="11270" width="13.42578125" style="267" hidden="1"/>
    <col min="11271" max="11271" width="17.140625" style="267" hidden="1"/>
    <col min="11272" max="11272" width="25.140625" style="267" hidden="1"/>
    <col min="11273" max="11273" width="26" style="267" hidden="1"/>
    <col min="11274" max="11274" width="31.85546875" style="267" hidden="1"/>
    <col min="11275" max="11276" width="9.140625" style="267" hidden="1"/>
    <col min="11277" max="11277" width="18.42578125" style="267" hidden="1"/>
    <col min="11278" max="11520" width="9.140625" style="267" hidden="1"/>
    <col min="11521" max="11521" width="5.85546875" style="267" hidden="1"/>
    <col min="11522" max="11522" width="11.85546875" style="267" hidden="1"/>
    <col min="11523" max="11523" width="8.42578125" style="267" hidden="1"/>
    <col min="11524" max="11524" width="7.5703125" style="267" hidden="1"/>
    <col min="11525" max="11525" width="15.5703125" style="267" hidden="1"/>
    <col min="11526" max="11526" width="13.42578125" style="267" hidden="1"/>
    <col min="11527" max="11527" width="17.140625" style="267" hidden="1"/>
    <col min="11528" max="11528" width="25.140625" style="267" hidden="1"/>
    <col min="11529" max="11529" width="26" style="267" hidden="1"/>
    <col min="11530" max="11530" width="31.85546875" style="267" hidden="1"/>
    <col min="11531" max="11532" width="9.140625" style="267" hidden="1"/>
    <col min="11533" max="11533" width="18.42578125" style="267" hidden="1"/>
    <col min="11534" max="11776" width="9.140625" style="267" hidden="1"/>
    <col min="11777" max="11777" width="5.85546875" style="267" hidden="1"/>
    <col min="11778" max="11778" width="11.85546875" style="267" hidden="1"/>
    <col min="11779" max="11779" width="8.42578125" style="267" hidden="1"/>
    <col min="11780" max="11780" width="7.5703125" style="267" hidden="1"/>
    <col min="11781" max="11781" width="15.5703125" style="267" hidden="1"/>
    <col min="11782" max="11782" width="13.42578125" style="267" hidden="1"/>
    <col min="11783" max="11783" width="17.140625" style="267" hidden="1"/>
    <col min="11784" max="11784" width="25.140625" style="267" hidden="1"/>
    <col min="11785" max="11785" width="26" style="267" hidden="1"/>
    <col min="11786" max="11786" width="31.85546875" style="267" hidden="1"/>
    <col min="11787" max="11788" width="9.140625" style="267" hidden="1"/>
    <col min="11789" max="11789" width="18.42578125" style="267" hidden="1"/>
    <col min="11790" max="12032" width="9.140625" style="267" hidden="1"/>
    <col min="12033" max="12033" width="5.85546875" style="267" hidden="1"/>
    <col min="12034" max="12034" width="11.85546875" style="267" hidden="1"/>
    <col min="12035" max="12035" width="8.42578125" style="267" hidden="1"/>
    <col min="12036" max="12036" width="7.5703125" style="267" hidden="1"/>
    <col min="12037" max="12037" width="15.5703125" style="267" hidden="1"/>
    <col min="12038" max="12038" width="13.42578125" style="267" hidden="1"/>
    <col min="12039" max="12039" width="17.140625" style="267" hidden="1"/>
    <col min="12040" max="12040" width="25.140625" style="267" hidden="1"/>
    <col min="12041" max="12041" width="26" style="267" hidden="1"/>
    <col min="12042" max="12042" width="31.85546875" style="267" hidden="1"/>
    <col min="12043" max="12044" width="9.140625" style="267" hidden="1"/>
    <col min="12045" max="12045" width="18.42578125" style="267" hidden="1"/>
    <col min="12046" max="12288" width="9.140625" style="267" hidden="1"/>
    <col min="12289" max="12289" width="5.85546875" style="267" hidden="1"/>
    <col min="12290" max="12290" width="11.85546875" style="267" hidden="1"/>
    <col min="12291" max="12291" width="8.42578125" style="267" hidden="1"/>
    <col min="12292" max="12292" width="7.5703125" style="267" hidden="1"/>
    <col min="12293" max="12293" width="15.5703125" style="267" hidden="1"/>
    <col min="12294" max="12294" width="13.42578125" style="267" hidden="1"/>
    <col min="12295" max="12295" width="17.140625" style="267" hidden="1"/>
    <col min="12296" max="12296" width="25.140625" style="267" hidden="1"/>
    <col min="12297" max="12297" width="26" style="267" hidden="1"/>
    <col min="12298" max="12298" width="31.85546875" style="267" hidden="1"/>
    <col min="12299" max="12300" width="9.140625" style="267" hidden="1"/>
    <col min="12301" max="12301" width="18.42578125" style="267" hidden="1"/>
    <col min="12302" max="12544" width="9.140625" style="267" hidden="1"/>
    <col min="12545" max="12545" width="5.85546875" style="267" hidden="1"/>
    <col min="12546" max="12546" width="11.85546875" style="267" hidden="1"/>
    <col min="12547" max="12547" width="8.42578125" style="267" hidden="1"/>
    <col min="12548" max="12548" width="7.5703125" style="267" hidden="1"/>
    <col min="12549" max="12549" width="15.5703125" style="267" hidden="1"/>
    <col min="12550" max="12550" width="13.42578125" style="267" hidden="1"/>
    <col min="12551" max="12551" width="17.140625" style="267" hidden="1"/>
    <col min="12552" max="12552" width="25.140625" style="267" hidden="1"/>
    <col min="12553" max="12553" width="26" style="267" hidden="1"/>
    <col min="12554" max="12554" width="31.85546875" style="267" hidden="1"/>
    <col min="12555" max="12556" width="9.140625" style="267" hidden="1"/>
    <col min="12557" max="12557" width="18.42578125" style="267" hidden="1"/>
    <col min="12558" max="12800" width="9.140625" style="267" hidden="1"/>
    <col min="12801" max="12801" width="5.85546875" style="267" hidden="1"/>
    <col min="12802" max="12802" width="11.85546875" style="267" hidden="1"/>
    <col min="12803" max="12803" width="8.42578125" style="267" hidden="1"/>
    <col min="12804" max="12804" width="7.5703125" style="267" hidden="1"/>
    <col min="12805" max="12805" width="15.5703125" style="267" hidden="1"/>
    <col min="12806" max="12806" width="13.42578125" style="267" hidden="1"/>
    <col min="12807" max="12807" width="17.140625" style="267" hidden="1"/>
    <col min="12808" max="12808" width="25.140625" style="267" hidden="1"/>
    <col min="12809" max="12809" width="26" style="267" hidden="1"/>
    <col min="12810" max="12810" width="31.85546875" style="267" hidden="1"/>
    <col min="12811" max="12812" width="9.140625" style="267" hidden="1"/>
    <col min="12813" max="12813" width="18.42578125" style="267" hidden="1"/>
    <col min="12814" max="13056" width="9.140625" style="267" hidden="1"/>
    <col min="13057" max="13057" width="5.85546875" style="267" hidden="1"/>
    <col min="13058" max="13058" width="11.85546875" style="267" hidden="1"/>
    <col min="13059" max="13059" width="8.42578125" style="267" hidden="1"/>
    <col min="13060" max="13060" width="7.5703125" style="267" hidden="1"/>
    <col min="13061" max="13061" width="15.5703125" style="267" hidden="1"/>
    <col min="13062" max="13062" width="13.42578125" style="267" hidden="1"/>
    <col min="13063" max="13063" width="17.140625" style="267" hidden="1"/>
    <col min="13064" max="13064" width="25.140625" style="267" hidden="1"/>
    <col min="13065" max="13065" width="26" style="267" hidden="1"/>
    <col min="13066" max="13066" width="31.85546875" style="267" hidden="1"/>
    <col min="13067" max="13068" width="9.140625" style="267" hidden="1"/>
    <col min="13069" max="13069" width="18.42578125" style="267" hidden="1"/>
    <col min="13070" max="13312" width="9.140625" style="267" hidden="1"/>
    <col min="13313" max="13313" width="5.85546875" style="267" hidden="1"/>
    <col min="13314" max="13314" width="11.85546875" style="267" hidden="1"/>
    <col min="13315" max="13315" width="8.42578125" style="267" hidden="1"/>
    <col min="13316" max="13316" width="7.5703125" style="267" hidden="1"/>
    <col min="13317" max="13317" width="15.5703125" style="267" hidden="1"/>
    <col min="13318" max="13318" width="13.42578125" style="267" hidden="1"/>
    <col min="13319" max="13319" width="17.140625" style="267" hidden="1"/>
    <col min="13320" max="13320" width="25.140625" style="267" hidden="1"/>
    <col min="13321" max="13321" width="26" style="267" hidden="1"/>
    <col min="13322" max="13322" width="31.85546875" style="267" hidden="1"/>
    <col min="13323" max="13324" width="9.140625" style="267" hidden="1"/>
    <col min="13325" max="13325" width="18.42578125" style="267" hidden="1"/>
    <col min="13326" max="13568" width="9.140625" style="267" hidden="1"/>
    <col min="13569" max="13569" width="5.85546875" style="267" hidden="1"/>
    <col min="13570" max="13570" width="11.85546875" style="267" hidden="1"/>
    <col min="13571" max="13571" width="8.42578125" style="267" hidden="1"/>
    <col min="13572" max="13572" width="7.5703125" style="267" hidden="1"/>
    <col min="13573" max="13573" width="15.5703125" style="267" hidden="1"/>
    <col min="13574" max="13574" width="13.42578125" style="267" hidden="1"/>
    <col min="13575" max="13575" width="17.140625" style="267" hidden="1"/>
    <col min="13576" max="13576" width="25.140625" style="267" hidden="1"/>
    <col min="13577" max="13577" width="26" style="267" hidden="1"/>
    <col min="13578" max="13578" width="31.85546875" style="267" hidden="1"/>
    <col min="13579" max="13580" width="9.140625" style="267" hidden="1"/>
    <col min="13581" max="13581" width="18.42578125" style="267" hidden="1"/>
    <col min="13582" max="13824" width="9.140625" style="267" hidden="1"/>
    <col min="13825" max="13825" width="5.85546875" style="267" hidden="1"/>
    <col min="13826" max="13826" width="11.85546875" style="267" hidden="1"/>
    <col min="13827" max="13827" width="8.42578125" style="267" hidden="1"/>
    <col min="13828" max="13828" width="7.5703125" style="267" hidden="1"/>
    <col min="13829" max="13829" width="15.5703125" style="267" hidden="1"/>
    <col min="13830" max="13830" width="13.42578125" style="267" hidden="1"/>
    <col min="13831" max="13831" width="17.140625" style="267" hidden="1"/>
    <col min="13832" max="13832" width="25.140625" style="267" hidden="1"/>
    <col min="13833" max="13833" width="26" style="267" hidden="1"/>
    <col min="13834" max="13834" width="31.85546875" style="267" hidden="1"/>
    <col min="13835" max="13836" width="9.140625" style="267" hidden="1"/>
    <col min="13837" max="13837" width="18.42578125" style="267" hidden="1"/>
    <col min="13838" max="14080" width="9.140625" style="267" hidden="1"/>
    <col min="14081" max="14081" width="5.85546875" style="267" hidden="1"/>
    <col min="14082" max="14082" width="11.85546875" style="267" hidden="1"/>
    <col min="14083" max="14083" width="8.42578125" style="267" hidden="1"/>
    <col min="14084" max="14084" width="7.5703125" style="267" hidden="1"/>
    <col min="14085" max="14085" width="15.5703125" style="267" hidden="1"/>
    <col min="14086" max="14086" width="13.42578125" style="267" hidden="1"/>
    <col min="14087" max="14087" width="17.140625" style="267" hidden="1"/>
    <col min="14088" max="14088" width="25.140625" style="267" hidden="1"/>
    <col min="14089" max="14089" width="26" style="267" hidden="1"/>
    <col min="14090" max="14090" width="31.85546875" style="267" hidden="1"/>
    <col min="14091" max="14092" width="9.140625" style="267" hidden="1"/>
    <col min="14093" max="14093" width="18.42578125" style="267" hidden="1"/>
    <col min="14094" max="14336" width="9.140625" style="267" hidden="1"/>
    <col min="14337" max="14337" width="5.85546875" style="267" hidden="1"/>
    <col min="14338" max="14338" width="11.85546875" style="267" hidden="1"/>
    <col min="14339" max="14339" width="8.42578125" style="267" hidden="1"/>
    <col min="14340" max="14340" width="7.5703125" style="267" hidden="1"/>
    <col min="14341" max="14341" width="15.5703125" style="267" hidden="1"/>
    <col min="14342" max="14342" width="13.42578125" style="267" hidden="1"/>
    <col min="14343" max="14343" width="17.140625" style="267" hidden="1"/>
    <col min="14344" max="14344" width="25.140625" style="267" hidden="1"/>
    <col min="14345" max="14345" width="26" style="267" hidden="1"/>
    <col min="14346" max="14346" width="31.85546875" style="267" hidden="1"/>
    <col min="14347" max="14348" width="9.140625" style="267" hidden="1"/>
    <col min="14349" max="14349" width="18.42578125" style="267" hidden="1"/>
    <col min="14350" max="14592" width="9.140625" style="267" hidden="1"/>
    <col min="14593" max="14593" width="5.85546875" style="267" hidden="1"/>
    <col min="14594" max="14594" width="11.85546875" style="267" hidden="1"/>
    <col min="14595" max="14595" width="8.42578125" style="267" hidden="1"/>
    <col min="14596" max="14596" width="7.5703125" style="267" hidden="1"/>
    <col min="14597" max="14597" width="15.5703125" style="267" hidden="1"/>
    <col min="14598" max="14598" width="13.42578125" style="267" hidden="1"/>
    <col min="14599" max="14599" width="17.140625" style="267" hidden="1"/>
    <col min="14600" max="14600" width="25.140625" style="267" hidden="1"/>
    <col min="14601" max="14601" width="26" style="267" hidden="1"/>
    <col min="14602" max="14602" width="31.85546875" style="267" hidden="1"/>
    <col min="14603" max="14604" width="9.140625" style="267" hidden="1"/>
    <col min="14605" max="14605" width="18.42578125" style="267" hidden="1"/>
    <col min="14606" max="14848" width="9.140625" style="267" hidden="1"/>
    <col min="14849" max="14849" width="5.85546875" style="267" hidden="1"/>
    <col min="14850" max="14850" width="11.85546875" style="267" hidden="1"/>
    <col min="14851" max="14851" width="8.42578125" style="267" hidden="1"/>
    <col min="14852" max="14852" width="7.5703125" style="267" hidden="1"/>
    <col min="14853" max="14853" width="15.5703125" style="267" hidden="1"/>
    <col min="14854" max="14854" width="13.42578125" style="267" hidden="1"/>
    <col min="14855" max="14855" width="17.140625" style="267" hidden="1"/>
    <col min="14856" max="14856" width="25.140625" style="267" hidden="1"/>
    <col min="14857" max="14857" width="26" style="267" hidden="1"/>
    <col min="14858" max="14858" width="31.85546875" style="267" hidden="1"/>
    <col min="14859" max="14860" width="9.140625" style="267" hidden="1"/>
    <col min="14861" max="14861" width="18.42578125" style="267" hidden="1"/>
    <col min="14862" max="15104" width="9.140625" style="267" hidden="1"/>
    <col min="15105" max="15105" width="5.85546875" style="267" hidden="1"/>
    <col min="15106" max="15106" width="11.85546875" style="267" hidden="1"/>
    <col min="15107" max="15107" width="8.42578125" style="267" hidden="1"/>
    <col min="15108" max="15108" width="7.5703125" style="267" hidden="1"/>
    <col min="15109" max="15109" width="15.5703125" style="267" hidden="1"/>
    <col min="15110" max="15110" width="13.42578125" style="267" hidden="1"/>
    <col min="15111" max="15111" width="17.140625" style="267" hidden="1"/>
    <col min="15112" max="15112" width="25.140625" style="267" hidden="1"/>
    <col min="15113" max="15113" width="26" style="267" hidden="1"/>
    <col min="15114" max="15114" width="31.85546875" style="267" hidden="1"/>
    <col min="15115" max="15116" width="9.140625" style="267" hidden="1"/>
    <col min="15117" max="15117" width="18.42578125" style="267" hidden="1"/>
    <col min="15118" max="15360" width="9.140625" style="267" hidden="1"/>
    <col min="15361" max="15361" width="5.85546875" style="267" hidden="1"/>
    <col min="15362" max="15362" width="11.85546875" style="267" hidden="1"/>
    <col min="15363" max="15363" width="8.42578125" style="267" hidden="1"/>
    <col min="15364" max="15364" width="7.5703125" style="267" hidden="1"/>
    <col min="15365" max="15365" width="15.5703125" style="267" hidden="1"/>
    <col min="15366" max="15366" width="13.42578125" style="267" hidden="1"/>
    <col min="15367" max="15367" width="17.140625" style="267" hidden="1"/>
    <col min="15368" max="15368" width="25.140625" style="267" hidden="1"/>
    <col min="15369" max="15369" width="26" style="267" hidden="1"/>
    <col min="15370" max="15370" width="31.85546875" style="267" hidden="1"/>
    <col min="15371" max="15372" width="9.140625" style="267" hidden="1"/>
    <col min="15373" max="15373" width="18.42578125" style="267" hidden="1"/>
    <col min="15374" max="15616" width="9.140625" style="267" hidden="1"/>
    <col min="15617" max="15617" width="5.85546875" style="267" hidden="1"/>
    <col min="15618" max="15618" width="11.85546875" style="267" hidden="1"/>
    <col min="15619" max="15619" width="8.42578125" style="267" hidden="1"/>
    <col min="15620" max="15620" width="7.5703125" style="267" hidden="1"/>
    <col min="15621" max="15621" width="15.5703125" style="267" hidden="1"/>
    <col min="15622" max="15622" width="13.42578125" style="267" hidden="1"/>
    <col min="15623" max="15623" width="17.140625" style="267" hidden="1"/>
    <col min="15624" max="15624" width="25.140625" style="267" hidden="1"/>
    <col min="15625" max="15625" width="26" style="267" hidden="1"/>
    <col min="15626" max="15626" width="31.85546875" style="267" hidden="1"/>
    <col min="15627" max="15628" width="9.140625" style="267" hidden="1"/>
    <col min="15629" max="15629" width="18.42578125" style="267" hidden="1"/>
    <col min="15630" max="15872" width="9.140625" style="267" hidden="1"/>
    <col min="15873" max="15873" width="5.85546875" style="267" hidden="1"/>
    <col min="15874" max="15874" width="11.85546875" style="267" hidden="1"/>
    <col min="15875" max="15875" width="8.42578125" style="267" hidden="1"/>
    <col min="15876" max="15876" width="7.5703125" style="267" hidden="1"/>
    <col min="15877" max="15877" width="15.5703125" style="267" hidden="1"/>
    <col min="15878" max="15878" width="13.42578125" style="267" hidden="1"/>
    <col min="15879" max="15879" width="17.140625" style="267" hidden="1"/>
    <col min="15880" max="15880" width="25.140625" style="267" hidden="1"/>
    <col min="15881" max="15881" width="26" style="267" hidden="1"/>
    <col min="15882" max="15882" width="31.85546875" style="267" hidden="1"/>
    <col min="15883" max="15884" width="9.140625" style="267" hidden="1"/>
    <col min="15885" max="15885" width="18.42578125" style="267" hidden="1"/>
    <col min="15886" max="16128" width="9.140625" style="267" hidden="1"/>
    <col min="16129" max="16129" width="5.85546875" style="267" hidden="1"/>
    <col min="16130" max="16130" width="11.85546875" style="267" hidden="1"/>
    <col min="16131" max="16131" width="8.42578125" style="267" hidden="1"/>
    <col min="16132" max="16132" width="7.5703125" style="267" hidden="1"/>
    <col min="16133" max="16133" width="15.5703125" style="267" hidden="1"/>
    <col min="16134" max="16134" width="13.42578125" style="267" hidden="1"/>
    <col min="16135" max="16135" width="17.140625" style="267" hidden="1"/>
    <col min="16136" max="16136" width="25.140625" style="267" hidden="1"/>
    <col min="16137" max="16137" width="26" style="267" hidden="1"/>
    <col min="16138" max="16138" width="31.85546875" style="267" hidden="1"/>
    <col min="16139" max="16140" width="9.140625" style="267" hidden="1"/>
    <col min="16141" max="16141" width="18.42578125" style="267" hidden="1"/>
    <col min="16142" max="16384" width="9.140625" style="267" hidden="1"/>
  </cols>
  <sheetData>
    <row r="1" spans="1:21" ht="15" customHeight="1" x14ac:dyDescent="0.2">
      <c r="A1" s="533"/>
      <c r="B1" s="266"/>
      <c r="C1" s="266"/>
      <c r="D1" s="266"/>
      <c r="E1" s="266"/>
      <c r="F1" s="460"/>
      <c r="G1" s="266"/>
      <c r="H1" s="461" t="s">
        <v>324</v>
      </c>
      <c r="O1" s="785" t="s">
        <v>223</v>
      </c>
      <c r="P1" s="785"/>
      <c r="Q1" s="785"/>
      <c r="R1" s="785"/>
      <c r="S1" s="785"/>
      <c r="T1" s="785"/>
      <c r="U1" s="785"/>
    </row>
    <row r="2" spans="1:21" ht="15" customHeight="1" x14ac:dyDescent="0.2">
      <c r="A2" s="272"/>
      <c r="B2" s="462" t="s">
        <v>325</v>
      </c>
      <c r="C2" s="462"/>
      <c r="D2" s="463"/>
      <c r="E2" s="464"/>
      <c r="F2" s="464"/>
      <c r="G2" s="464"/>
      <c r="H2" s="333"/>
      <c r="O2" s="785"/>
      <c r="P2" s="785"/>
      <c r="Q2" s="785"/>
      <c r="R2" s="785"/>
      <c r="S2" s="785"/>
      <c r="T2" s="785"/>
      <c r="U2" s="785"/>
    </row>
    <row r="3" spans="1:21" s="271" customFormat="1" ht="15" customHeight="1" x14ac:dyDescent="0.2">
      <c r="A3" s="272"/>
      <c r="B3" s="465" t="s">
        <v>326</v>
      </c>
      <c r="C3" s="465"/>
      <c r="D3" s="463"/>
      <c r="E3" s="466"/>
      <c r="F3" s="467"/>
      <c r="G3" s="466"/>
      <c r="H3" s="468"/>
      <c r="O3" s="785"/>
      <c r="P3" s="785"/>
      <c r="Q3" s="785"/>
      <c r="R3" s="785"/>
      <c r="S3" s="785"/>
      <c r="T3" s="785"/>
      <c r="U3" s="785"/>
    </row>
    <row r="4" spans="1:21" s="271" customFormat="1" ht="15" customHeight="1" x14ac:dyDescent="0.2">
      <c r="A4" s="272"/>
      <c r="B4" s="465" t="s">
        <v>327</v>
      </c>
      <c r="C4" s="465"/>
      <c r="D4" s="463"/>
      <c r="E4" s="464"/>
      <c r="F4" s="464"/>
      <c r="G4" s="464"/>
      <c r="H4" s="333"/>
      <c r="O4" s="785"/>
      <c r="P4" s="785"/>
      <c r="Q4" s="785"/>
      <c r="R4" s="785"/>
      <c r="S4" s="785"/>
      <c r="T4" s="785"/>
      <c r="U4" s="785"/>
    </row>
    <row r="5" spans="1:21" s="469" customFormat="1" ht="39.75" customHeight="1" x14ac:dyDescent="0.25">
      <c r="A5" s="834" t="s">
        <v>328</v>
      </c>
      <c r="B5" s="835"/>
      <c r="C5" s="835"/>
      <c r="D5" s="835"/>
      <c r="E5" s="835"/>
      <c r="F5" s="835"/>
      <c r="G5" s="835"/>
      <c r="H5" s="836"/>
      <c r="O5"/>
      <c r="P5"/>
      <c r="Q5"/>
      <c r="R5" s="32"/>
      <c r="S5" s="105"/>
      <c r="T5" s="105"/>
      <c r="U5" s="32"/>
    </row>
    <row r="6" spans="1:21" s="329" customFormat="1" ht="15" customHeight="1" x14ac:dyDescent="0.25">
      <c r="A6" s="273">
        <v>1</v>
      </c>
      <c r="B6" s="274" t="s">
        <v>329</v>
      </c>
      <c r="C6" s="275"/>
      <c r="D6" s="275"/>
      <c r="E6" s="276"/>
      <c r="F6" s="837" t="str">
        <f>IF(E_Name="","",E_Name)</f>
        <v xml:space="preserve">  </v>
      </c>
      <c r="G6" s="838"/>
      <c r="H6" s="298"/>
      <c r="I6" s="470"/>
      <c r="O6"/>
      <c r="P6"/>
      <c r="Q6"/>
      <c r="R6" s="102" t="s">
        <v>173</v>
      </c>
      <c r="S6" s="101" t="s">
        <v>174</v>
      </c>
      <c r="T6" s="101" t="s">
        <v>175</v>
      </c>
      <c r="U6" s="101"/>
    </row>
    <row r="7" spans="1:21" s="329" customFormat="1" ht="12" customHeight="1" x14ac:dyDescent="0.25">
      <c r="A7" s="277"/>
      <c r="B7" s="274" t="s">
        <v>330</v>
      </c>
      <c r="C7" s="275" t="str">
        <f>IF(Empl_No=0," ",Empl_No)</f>
        <v>NA</v>
      </c>
      <c r="D7" s="275"/>
      <c r="E7" s="276"/>
      <c r="F7" s="323" t="str">
        <f>IF(Empl_No=0,"",Empl_No)</f>
        <v>NA</v>
      </c>
      <c r="G7" s="297"/>
      <c r="H7" s="298"/>
      <c r="I7" s="470"/>
      <c r="O7"/>
      <c r="P7"/>
      <c r="Q7"/>
      <c r="R7" s="103"/>
      <c r="S7" s="104"/>
      <c r="T7" s="104"/>
      <c r="U7" s="104"/>
    </row>
    <row r="8" spans="1:21" s="329" customFormat="1" ht="12" customHeight="1" x14ac:dyDescent="0.25">
      <c r="A8" s="273">
        <v>2</v>
      </c>
      <c r="B8" s="274" t="s">
        <v>331</v>
      </c>
      <c r="C8" s="275"/>
      <c r="D8" s="727"/>
      <c r="E8" s="839" t="s">
        <v>796</v>
      </c>
      <c r="F8" s="840"/>
      <c r="G8" s="840"/>
      <c r="H8" s="841"/>
      <c r="O8" s="29"/>
      <c r="P8" s="5"/>
      <c r="Q8" s="5"/>
      <c r="R8" s="103" t="str">
        <f>B8 &amp; "-"&amp;B9</f>
        <v>Father's/Husband's Name:-(in case of married Women)</v>
      </c>
      <c r="S8" s="104" t="str">
        <f>IF(E8="","Check","Validated")</f>
        <v>Validated</v>
      </c>
      <c r="T8" s="104" t="s">
        <v>2</v>
      </c>
      <c r="U8" s="104"/>
    </row>
    <row r="9" spans="1:21" s="329" customFormat="1" ht="12" customHeight="1" x14ac:dyDescent="0.25">
      <c r="A9" s="277"/>
      <c r="B9" s="282" t="s">
        <v>332</v>
      </c>
      <c r="C9" s="278"/>
      <c r="D9" s="283"/>
      <c r="E9" s="842"/>
      <c r="F9" s="843"/>
      <c r="G9" s="843"/>
      <c r="H9" s="844"/>
      <c r="O9"/>
      <c r="P9"/>
      <c r="Q9"/>
      <c r="R9" s="103" t="str">
        <f>RIGHT(F11,LEN(F11)-2)</f>
        <v xml:space="preserve"> Account No </v>
      </c>
      <c r="S9" s="104" t="str">
        <f>IF(H11="","Check","Validated")</f>
        <v>Check</v>
      </c>
      <c r="T9" s="104" t="s">
        <v>2</v>
      </c>
      <c r="U9" s="104"/>
    </row>
    <row r="10" spans="1:21" s="329" customFormat="1" ht="15" customHeight="1" x14ac:dyDescent="0.25">
      <c r="A10" s="284">
        <v>3</v>
      </c>
      <c r="B10" s="264" t="s">
        <v>8</v>
      </c>
      <c r="C10" s="265"/>
      <c r="D10" s="285"/>
      <c r="E10" s="471" t="str">
        <f>IF(DOB=0," ",DOB)</f>
        <v xml:space="preserve"> </v>
      </c>
      <c r="F10" s="845" t="s">
        <v>333</v>
      </c>
      <c r="G10" s="846"/>
      <c r="H10" s="303" t="str">
        <f>IF(F_Name="","",M_Status)</f>
        <v/>
      </c>
      <c r="I10" s="470"/>
      <c r="O10" s="5"/>
      <c r="P10"/>
      <c r="Q10"/>
      <c r="R10" s="103" t="s">
        <v>518</v>
      </c>
      <c r="S10" s="104" t="str">
        <f>IF(AND(A23&lt;&gt;"",I23=""),"Check","Validated")</f>
        <v>Validated</v>
      </c>
      <c r="T10" s="104" t="s">
        <v>2</v>
      </c>
      <c r="U10" s="104"/>
    </row>
    <row r="11" spans="1:21" s="329" customFormat="1" ht="15" customHeight="1" x14ac:dyDescent="0.25">
      <c r="A11" s="273">
        <v>4</v>
      </c>
      <c r="B11" s="264" t="s">
        <v>334</v>
      </c>
      <c r="C11" s="265"/>
      <c r="D11" s="285"/>
      <c r="E11" s="302" t="str">
        <f>IF(Sex=0," ",Sex)</f>
        <v xml:space="preserve"> </v>
      </c>
      <c r="F11" s="284" t="s">
        <v>335</v>
      </c>
      <c r="G11" s="350" t="s">
        <v>336</v>
      </c>
      <c r="H11" s="459"/>
      <c r="I11" s="470"/>
      <c r="O11"/>
      <c r="P11"/>
      <c r="Q11"/>
      <c r="R11" s="103" t="s">
        <v>519</v>
      </c>
      <c r="S11" s="104" t="str">
        <f t="shared" ref="S11:S15" si="0">IF(AND(A24&lt;&gt;"",I24=""),"Check","Validated")</f>
        <v>Validated</v>
      </c>
      <c r="T11" s="104" t="s">
        <v>2</v>
      </c>
      <c r="U11" s="104"/>
    </row>
    <row r="12" spans="1:21" s="329" customFormat="1" ht="12" customHeight="1" x14ac:dyDescent="0.2">
      <c r="A12" s="273">
        <v>7</v>
      </c>
      <c r="B12" s="275" t="s">
        <v>337</v>
      </c>
      <c r="C12" s="275"/>
      <c r="D12" s="275"/>
      <c r="E12" s="276"/>
      <c r="F12" s="275" t="s">
        <v>338</v>
      </c>
      <c r="G12" s="297"/>
      <c r="H12" s="298"/>
      <c r="O12" s="5"/>
      <c r="P12" s="5"/>
      <c r="Q12" s="5"/>
      <c r="R12" s="103" t="s">
        <v>520</v>
      </c>
      <c r="S12" s="104" t="str">
        <f t="shared" si="0"/>
        <v>Validated</v>
      </c>
      <c r="T12" s="104" t="s">
        <v>2</v>
      </c>
      <c r="U12" s="104"/>
    </row>
    <row r="13" spans="1:21" ht="14.1" customHeight="1" x14ac:dyDescent="0.25">
      <c r="A13" s="286"/>
      <c r="B13" s="287" t="str">
        <f>IF(('Personal Information'!$H$43&amp;'Personal Information'!$H$44&amp;'Personal Information'!$H$45)=0,"",'Personal Information'!$H$43&amp;" "&amp;'Personal Information'!$H$44)</f>
        <v xml:space="preserve"> </v>
      </c>
      <c r="C13" s="288"/>
      <c r="D13" s="288"/>
      <c r="E13" s="289"/>
      <c r="F13" s="287" t="str">
        <f>IF(('Personal Information'!$D$43&amp;'Personal Information'!$D$44&amp;'Personal Information'!$D$45)=0,"",'Personal Information'!$D$43&amp;" "&amp;'Personal Information'!$D$44)</f>
        <v xml:space="preserve"> </v>
      </c>
      <c r="G13" s="299"/>
      <c r="H13" s="276"/>
      <c r="I13" s="470"/>
      <c r="J13" s="329"/>
      <c r="K13" s="329"/>
      <c r="L13" s="329"/>
      <c r="M13" s="329"/>
      <c r="N13" s="329"/>
      <c r="O13"/>
      <c r="P13"/>
      <c r="Q13"/>
      <c r="R13" s="103" t="s">
        <v>521</v>
      </c>
      <c r="S13" s="104" t="str">
        <f t="shared" si="0"/>
        <v>Validated</v>
      </c>
      <c r="T13" s="104" t="s">
        <v>2</v>
      </c>
      <c r="U13" s="104"/>
    </row>
    <row r="14" spans="1:21" s="335" customFormat="1" ht="14.1" customHeight="1" x14ac:dyDescent="0.25">
      <c r="A14" s="286"/>
      <c r="B14" s="290" t="str">
        <f>IF('Personal Information'!$H$45=0,"",'Personal Information'!$H$45)</f>
        <v/>
      </c>
      <c r="C14" s="291"/>
      <c r="D14" s="291"/>
      <c r="E14" s="292"/>
      <c r="F14" s="290" t="str">
        <f>IF('Personal Information'!$D$45=0,"",'Personal Information'!$D$45)</f>
        <v/>
      </c>
      <c r="G14" s="300"/>
      <c r="H14" s="337"/>
      <c r="J14" s="329"/>
      <c r="K14" s="329"/>
      <c r="L14" s="329"/>
      <c r="M14" s="329"/>
      <c r="N14" s="329"/>
      <c r="O14" s="5"/>
      <c r="P14" s="29"/>
      <c r="Q14" s="29"/>
      <c r="R14" s="103" t="s">
        <v>522</v>
      </c>
      <c r="S14" s="104" t="str">
        <f t="shared" si="0"/>
        <v>Validated</v>
      </c>
      <c r="T14" s="104" t="s">
        <v>2</v>
      </c>
      <c r="U14" s="29"/>
    </row>
    <row r="15" spans="1:21" s="335" customFormat="1" ht="14.1" customHeight="1" x14ac:dyDescent="0.25">
      <c r="A15" s="286"/>
      <c r="B15" s="290" t="str">
        <f>IF('Personal Information'!$H$46=0,"",'Personal Information'!$H$46&amp;" - "&amp;'Personal Information'!$H$48)</f>
        <v/>
      </c>
      <c r="C15" s="291"/>
      <c r="D15" s="291"/>
      <c r="E15" s="292"/>
      <c r="F15" s="290" t="str">
        <f>IF('Personal Information'!$D$46=0,"",'Personal Information'!$D$46&amp;" - "&amp;'Personal Information'!$D$48)</f>
        <v/>
      </c>
      <c r="G15" s="300"/>
      <c r="H15" s="337"/>
      <c r="J15" s="329"/>
      <c r="K15" s="329"/>
      <c r="L15" s="329"/>
      <c r="M15" s="329"/>
      <c r="N15" s="329"/>
      <c r="O15" s="29"/>
      <c r="P15" s="29"/>
      <c r="Q15" s="29"/>
      <c r="R15" s="103" t="s">
        <v>523</v>
      </c>
      <c r="S15" s="104" t="str">
        <f t="shared" si="0"/>
        <v>Validated</v>
      </c>
      <c r="T15" s="104" t="s">
        <v>2</v>
      </c>
      <c r="U15" s="29"/>
    </row>
    <row r="16" spans="1:21" s="334" customFormat="1" ht="14.1" customHeight="1" x14ac:dyDescent="0.25">
      <c r="A16" s="293"/>
      <c r="B16" s="294" t="str">
        <f>IF('Personal Information'!$H$47=0,"",'Personal Information'!$H$47)</f>
        <v/>
      </c>
      <c r="C16" s="295"/>
      <c r="D16" s="295"/>
      <c r="E16" s="296"/>
      <c r="F16" s="294" t="str">
        <f>IF('Personal Information'!$D$47=0,"",'Personal Information'!$D$47)</f>
        <v/>
      </c>
      <c r="G16" s="301"/>
      <c r="H16" s="338"/>
      <c r="J16" s="329"/>
      <c r="K16" s="329"/>
      <c r="L16" s="329"/>
      <c r="M16" s="329"/>
      <c r="N16" s="329"/>
      <c r="O16" s="405"/>
      <c r="P16" s="405"/>
      <c r="Q16" s="405"/>
      <c r="R16" s="103"/>
      <c r="S16" s="104"/>
      <c r="T16" s="104"/>
      <c r="U16" s="405"/>
    </row>
    <row r="17" spans="1:21" ht="9.9499999999999993" customHeight="1" x14ac:dyDescent="0.25">
      <c r="A17" s="279"/>
      <c r="B17" s="280"/>
      <c r="C17" s="280"/>
      <c r="D17" s="304"/>
      <c r="E17" s="305"/>
      <c r="F17" s="304"/>
      <c r="G17" s="299"/>
      <c r="H17" s="306"/>
      <c r="J17" s="329"/>
      <c r="K17" s="329"/>
      <c r="L17" s="329"/>
      <c r="M17" s="329"/>
      <c r="N17" s="329"/>
      <c r="O17" s="405"/>
      <c r="P17" s="405"/>
      <c r="Q17" s="405"/>
      <c r="R17" s="103"/>
      <c r="S17" s="104"/>
      <c r="T17" s="104"/>
      <c r="U17" s="405"/>
    </row>
    <row r="18" spans="1:21" s="311" customFormat="1" ht="18.75" customHeight="1" x14ac:dyDescent="0.25">
      <c r="A18" s="307"/>
      <c r="B18" s="308"/>
      <c r="C18" s="308"/>
      <c r="D18" s="309"/>
      <c r="E18" s="847" t="s">
        <v>339</v>
      </c>
      <c r="F18" s="848"/>
      <c r="G18" s="849"/>
      <c r="H18" s="310"/>
      <c r="J18" s="329"/>
      <c r="K18" s="329"/>
      <c r="L18" s="329"/>
      <c r="M18" s="329"/>
      <c r="N18" s="329"/>
      <c r="O18" s="405"/>
      <c r="P18" s="405"/>
      <c r="Q18" s="405"/>
      <c r="R18" s="103"/>
      <c r="S18" s="104"/>
      <c r="T18" s="104"/>
      <c r="U18" s="405"/>
    </row>
    <row r="19" spans="1:21" ht="38.25" customHeight="1" x14ac:dyDescent="0.25">
      <c r="A19" s="831" t="s">
        <v>340</v>
      </c>
      <c r="B19" s="832"/>
      <c r="C19" s="832"/>
      <c r="D19" s="832"/>
      <c r="E19" s="832"/>
      <c r="F19" s="832"/>
      <c r="G19" s="832"/>
      <c r="H19" s="833"/>
      <c r="J19" s="329"/>
      <c r="K19" s="329"/>
      <c r="L19" s="329"/>
      <c r="M19" s="329"/>
      <c r="N19" s="329"/>
      <c r="O19" s="405"/>
      <c r="P19" s="405"/>
      <c r="Q19" s="405"/>
      <c r="R19" s="103" t="b">
        <f>S19=T19</f>
        <v>0</v>
      </c>
      <c r="S19" s="105">
        <f>COUNTIF(S8:S18,"Validated")</f>
        <v>7</v>
      </c>
      <c r="T19" s="105">
        <f>COUNTIF(T8:T18,"x")</f>
        <v>8</v>
      </c>
      <c r="U19" s="405"/>
    </row>
    <row r="20" spans="1:21" ht="9.75" customHeight="1" x14ac:dyDescent="0.25">
      <c r="A20" s="279"/>
      <c r="B20" s="280"/>
      <c r="C20" s="280"/>
      <c r="D20" s="304"/>
      <c r="E20" s="305"/>
      <c r="F20" s="312"/>
      <c r="G20" s="299"/>
      <c r="H20" s="306"/>
      <c r="J20" s="329"/>
      <c r="K20" s="329"/>
      <c r="L20" s="329"/>
      <c r="M20" s="329"/>
      <c r="O20" s="405"/>
      <c r="P20" s="405"/>
      <c r="Q20" s="405"/>
      <c r="R20" s="103"/>
      <c r="S20" s="104"/>
      <c r="T20" s="104"/>
      <c r="U20" s="405"/>
    </row>
    <row r="21" spans="1:21" ht="69" customHeight="1" x14ac:dyDescent="0.25">
      <c r="A21" s="850" t="s">
        <v>341</v>
      </c>
      <c r="B21" s="851"/>
      <c r="C21" s="850" t="s">
        <v>342</v>
      </c>
      <c r="D21" s="851"/>
      <c r="E21" s="263" t="s">
        <v>343</v>
      </c>
      <c r="F21" s="313" t="s">
        <v>344</v>
      </c>
      <c r="G21" s="314" t="s">
        <v>345</v>
      </c>
      <c r="H21" s="314" t="s">
        <v>346</v>
      </c>
      <c r="I21" s="353" t="s">
        <v>347</v>
      </c>
      <c r="J21" s="353" t="s">
        <v>348</v>
      </c>
      <c r="K21" s="329"/>
      <c r="L21" s="329"/>
      <c r="M21" s="329"/>
      <c r="O21" s="405"/>
      <c r="P21" s="405"/>
      <c r="Q21" s="405"/>
      <c r="R21" s="405"/>
      <c r="S21" s="405"/>
      <c r="T21" s="405"/>
      <c r="U21" s="405"/>
    </row>
    <row r="22" spans="1:21" ht="15.75" x14ac:dyDescent="0.25">
      <c r="A22" s="850">
        <v>1</v>
      </c>
      <c r="B22" s="851"/>
      <c r="C22" s="850">
        <v>2</v>
      </c>
      <c r="D22" s="851"/>
      <c r="E22" s="263">
        <v>3</v>
      </c>
      <c r="F22" s="313">
        <v>4</v>
      </c>
      <c r="G22" s="313">
        <v>5</v>
      </c>
      <c r="H22" s="313">
        <v>6</v>
      </c>
      <c r="I22" s="354"/>
      <c r="J22" s="354"/>
      <c r="O22" s="405"/>
      <c r="P22" s="405"/>
      <c r="Q22" s="405"/>
      <c r="R22" s="405"/>
      <c r="S22" s="405"/>
      <c r="T22" s="405"/>
      <c r="U22" s="405"/>
    </row>
    <row r="23" spans="1:21" ht="105" customHeight="1" x14ac:dyDescent="0.25">
      <c r="A23" s="852" t="str">
        <f>IF('Personal Information'!$B$128=0,"",'Personal Information'!$B$128)</f>
        <v/>
      </c>
      <c r="B23" s="853"/>
      <c r="C23" s="854" t="str">
        <f>IF(A23="","",IF(I23="Permenant",$B$13&amp;CHAR(10)&amp;$B$14&amp;CHAR(10)&amp;$B$15&amp;CHAR(10)&amp;$B$16,IF(I23="Temporary",$F$13&amp;CHAR(10)&amp;$F$14&amp;CHAR(10)&amp;$F$15&amp;CHAR(10)&amp;$F$16,IF(I23="Other",J23,""))))</f>
        <v/>
      </c>
      <c r="D23" s="855"/>
      <c r="E23" s="287" t="str">
        <f>IF(A23="","",VLOOKUP($A23,'Personal Information'!$B$106:$F$111,3,0))</f>
        <v/>
      </c>
      <c r="F23" s="339" t="str">
        <f>IF(A23="","",VLOOKUP($A23,'Personal Information'!$B$106:$F$111,5,0))</f>
        <v/>
      </c>
      <c r="G23" s="340" t="str">
        <f>IF(A23="","",VLOOKUP($A23,'Personal Information'!$B$127:$H$133,5,0)*100)</f>
        <v/>
      </c>
      <c r="H23" s="472"/>
      <c r="I23" s="355" t="s">
        <v>779</v>
      </c>
      <c r="J23" s="355"/>
      <c r="K23" s="473"/>
      <c r="L23" s="473"/>
      <c r="M23" s="473"/>
      <c r="N23" s="473"/>
      <c r="O23" s="405"/>
      <c r="P23" s="405"/>
      <c r="Q23" s="405"/>
      <c r="R23" s="103"/>
      <c r="U23" s="405"/>
    </row>
    <row r="24" spans="1:21" ht="105" customHeight="1" x14ac:dyDescent="0.25">
      <c r="A24" s="852" t="str">
        <f>IF('Personal Information'!$B$129=0,"",'Personal Information'!$B$129)</f>
        <v/>
      </c>
      <c r="B24" s="853"/>
      <c r="C24" s="854" t="str">
        <f t="shared" ref="C24:C28" si="1">IF(A24="","",IF(I24="Permenant",$B$13&amp;CHAR(10)&amp;$B$14&amp;CHAR(10)&amp;$B$15&amp;CHAR(10)&amp;$B$16,IF(I24="Temporary",$F$13&amp;CHAR(10)&amp;$F$14&amp;CHAR(10)&amp;$F$15&amp;CHAR(10)&amp;$F$16,IF(I24="Other",J24,""))))</f>
        <v/>
      </c>
      <c r="D24" s="855"/>
      <c r="E24" s="287" t="str">
        <f>IF(A24="","",VLOOKUP($A24,'Personal Information'!$B$106:$F$111,3,0))</f>
        <v/>
      </c>
      <c r="F24" s="339" t="str">
        <f>IF(A24="","",VLOOKUP($A24,'Personal Information'!$B$106:$F$111,5,0))</f>
        <v/>
      </c>
      <c r="G24" s="340" t="str">
        <f>IF(A24="","",VLOOKUP($A24,'Personal Information'!$B$127:$H$133,5,0)*100)</f>
        <v/>
      </c>
      <c r="H24" s="472"/>
      <c r="I24" s="355" t="s">
        <v>779</v>
      </c>
      <c r="J24" s="355"/>
      <c r="K24" s="726"/>
      <c r="L24" s="726"/>
      <c r="M24" s="726"/>
      <c r="N24" s="726"/>
      <c r="O24" s="405"/>
      <c r="P24" s="405"/>
      <c r="Q24" s="405"/>
      <c r="R24" s="103"/>
      <c r="U24" s="405"/>
    </row>
    <row r="25" spans="1:21" ht="105" customHeight="1" x14ac:dyDescent="0.25">
      <c r="A25" s="852" t="str">
        <f>IF('Personal Information'!$B$130=0,"",'Personal Information'!$B$130)</f>
        <v/>
      </c>
      <c r="B25" s="853"/>
      <c r="C25" s="854" t="str">
        <f t="shared" si="1"/>
        <v/>
      </c>
      <c r="D25" s="855"/>
      <c r="E25" s="287" t="str">
        <f>IF(A25="","",VLOOKUP($A25,'Personal Information'!$B$106:$F$111,3,0))</f>
        <v/>
      </c>
      <c r="F25" s="339" t="str">
        <f>IF(A25="","",VLOOKUP($A25,'Personal Information'!$B$106:$F$111,5,0))</f>
        <v/>
      </c>
      <c r="G25" s="340" t="str">
        <f>IF(A25="","",VLOOKUP($A25,'Personal Information'!$B$127:$H$133,5,0)*100)</f>
        <v/>
      </c>
      <c r="H25" s="472"/>
      <c r="I25" s="355" t="s">
        <v>779</v>
      </c>
      <c r="J25" s="355"/>
      <c r="K25" s="726"/>
      <c r="L25" s="726"/>
      <c r="M25" s="726"/>
      <c r="N25" s="726"/>
      <c r="O25" s="405"/>
      <c r="P25" s="405"/>
      <c r="Q25" s="405"/>
      <c r="R25" s="103"/>
      <c r="U25" s="405"/>
    </row>
    <row r="26" spans="1:21" ht="97.5" customHeight="1" x14ac:dyDescent="0.2">
      <c r="A26" s="856" t="str">
        <f>IF('Personal Information'!$B$131=0,"",'Personal Information'!$B$131)</f>
        <v/>
      </c>
      <c r="B26" s="857"/>
      <c r="C26" s="829" t="str">
        <f t="shared" si="1"/>
        <v/>
      </c>
      <c r="D26" s="830"/>
      <c r="E26" s="344" t="str">
        <f>IF(A26="","",VLOOKUP($A26,'Personal Information'!$B$106:$F$111,3,0))</f>
        <v/>
      </c>
      <c r="F26" s="345" t="str">
        <f>IF(A26="","",VLOOKUP($A26,'Personal Information'!$B$106:$F$111,5,0))</f>
        <v/>
      </c>
      <c r="G26" s="346" t="str">
        <f>IF(A26="","",VLOOKUP($A26,'Personal Information'!$B$127:$H$133,5,0)*100)</f>
        <v/>
      </c>
      <c r="H26" s="474"/>
      <c r="I26" s="356"/>
      <c r="J26" s="356"/>
    </row>
    <row r="27" spans="1:21" ht="60" customHeight="1" x14ac:dyDescent="0.2">
      <c r="A27" s="856" t="str">
        <f>IF('Personal Information'!$B$132=0,"",'Personal Information'!$B$132)</f>
        <v/>
      </c>
      <c r="B27" s="857"/>
      <c r="C27" s="829" t="str">
        <f t="shared" si="1"/>
        <v/>
      </c>
      <c r="D27" s="830"/>
      <c r="E27" s="344" t="str">
        <f>IF(A27="","",VLOOKUP($A27,'Personal Information'!$B$106:$F$111,3,0))</f>
        <v/>
      </c>
      <c r="F27" s="345" t="str">
        <f>IF(A27="","",VLOOKUP($A27,'Personal Information'!$B$106:$F$111,5,0))</f>
        <v/>
      </c>
      <c r="G27" s="346" t="str">
        <f>IF(A27="","",VLOOKUP($A27,'Personal Information'!$B$127:$H$133,5,0)*100)</f>
        <v/>
      </c>
      <c r="H27" s="474"/>
      <c r="I27" s="356"/>
      <c r="J27" s="356"/>
    </row>
    <row r="28" spans="1:21" ht="18" customHeight="1" x14ac:dyDescent="0.2">
      <c r="A28" s="860" t="str">
        <f>IF('Personal Information'!$B$133=0,"",'Personal Information'!$B$133)</f>
        <v/>
      </c>
      <c r="B28" s="861"/>
      <c r="C28" s="862" t="str">
        <f t="shared" si="1"/>
        <v/>
      </c>
      <c r="D28" s="863"/>
      <c r="E28" s="341" t="str">
        <f>IF(A28="","",VLOOKUP($A28,'Personal Information'!$B$106:$F$111,3,0))</f>
        <v/>
      </c>
      <c r="F28" s="342" t="str">
        <f>IF(A28="","",VLOOKUP($A28,'Personal Information'!$B$106:$F$111,5,0))</f>
        <v/>
      </c>
      <c r="G28" s="343" t="str">
        <f>IF(A28="","",VLOOKUP($A28,'Personal Information'!$B$127:$H$133,5,0)*100)</f>
        <v/>
      </c>
      <c r="H28" s="475"/>
      <c r="I28" s="357"/>
      <c r="J28" s="357"/>
    </row>
    <row r="29" spans="1:21" ht="24.75" customHeight="1" x14ac:dyDescent="0.2">
      <c r="A29" s="831" t="s">
        <v>349</v>
      </c>
      <c r="B29" s="832"/>
      <c r="C29" s="832"/>
      <c r="D29" s="832"/>
      <c r="E29" s="832"/>
      <c r="F29" s="832"/>
      <c r="G29" s="832"/>
      <c r="H29" s="833"/>
    </row>
    <row r="30" spans="1:21" ht="18" customHeight="1" x14ac:dyDescent="0.2">
      <c r="A30" s="831" t="s">
        <v>350</v>
      </c>
      <c r="B30" s="832"/>
      <c r="C30" s="832"/>
      <c r="D30" s="832"/>
      <c r="E30" s="832"/>
      <c r="F30" s="832"/>
      <c r="G30" s="832"/>
      <c r="H30" s="833"/>
    </row>
    <row r="31" spans="1:21" ht="18" customHeight="1" x14ac:dyDescent="0.2">
      <c r="A31" s="279"/>
      <c r="B31" s="280"/>
      <c r="C31" s="280"/>
      <c r="D31" s="280"/>
      <c r="E31" s="291"/>
      <c r="F31" s="280"/>
      <c r="G31" s="476"/>
      <c r="H31" s="281"/>
    </row>
    <row r="32" spans="1:21" ht="18" customHeight="1" thickBot="1" x14ac:dyDescent="0.25">
      <c r="A32" s="477" t="s">
        <v>351</v>
      </c>
      <c r="B32" s="478"/>
      <c r="C32" s="478"/>
      <c r="D32" s="478"/>
      <c r="E32" s="479"/>
      <c r="F32" s="478"/>
      <c r="G32" s="480" t="s">
        <v>352</v>
      </c>
      <c r="H32" s="481"/>
    </row>
    <row r="33" spans="1:19" s="271" customFormat="1" ht="21" customHeight="1" x14ac:dyDescent="0.25">
      <c r="A33" s="482"/>
      <c r="B33" s="483"/>
      <c r="C33" s="483"/>
      <c r="D33" s="483"/>
      <c r="E33" s="484"/>
      <c r="F33" s="308" t="s">
        <v>353</v>
      </c>
      <c r="G33" s="300"/>
      <c r="H33" s="485"/>
    </row>
    <row r="34" spans="1:19" ht="18" customHeight="1" x14ac:dyDescent="0.2">
      <c r="A34" s="486" t="s">
        <v>354</v>
      </c>
      <c r="B34" s="487"/>
      <c r="C34" s="488"/>
      <c r="D34" s="864"/>
      <c r="E34" s="865"/>
      <c r="F34" s="486"/>
      <c r="G34" s="489"/>
      <c r="H34" s="490" t="s">
        <v>355</v>
      </c>
    </row>
    <row r="35" spans="1:19" ht="18" customHeight="1" x14ac:dyDescent="0.2">
      <c r="A35" s="486" t="s">
        <v>356</v>
      </c>
      <c r="B35" s="487"/>
      <c r="C35" s="488"/>
      <c r="D35" s="864" t="s">
        <v>357</v>
      </c>
      <c r="E35" s="865"/>
      <c r="F35" s="486"/>
      <c r="G35" s="489"/>
      <c r="H35" s="490"/>
    </row>
    <row r="36" spans="1:19" ht="18" customHeight="1" x14ac:dyDescent="0.2">
      <c r="A36" s="486" t="s">
        <v>358</v>
      </c>
      <c r="B36" s="487"/>
      <c r="C36" s="488"/>
      <c r="D36" s="864"/>
      <c r="E36" s="865"/>
      <c r="F36" s="486"/>
      <c r="G36" s="489"/>
      <c r="H36" s="490" t="s">
        <v>359</v>
      </c>
    </row>
    <row r="37" spans="1:19" ht="18" customHeight="1" x14ac:dyDescent="0.2">
      <c r="A37" s="491"/>
      <c r="B37" s="491"/>
      <c r="C37" s="491"/>
      <c r="D37" s="316"/>
      <c r="E37" s="316"/>
      <c r="F37" s="491"/>
      <c r="G37" s="492"/>
      <c r="H37" s="491"/>
    </row>
    <row r="38" spans="1:19" s="311" customFormat="1" ht="18.75" customHeight="1" x14ac:dyDescent="0.25">
      <c r="A38" s="315"/>
      <c r="B38" s="316"/>
      <c r="C38" s="316"/>
      <c r="D38" s="317"/>
      <c r="E38" s="847" t="s">
        <v>360</v>
      </c>
      <c r="F38" s="848"/>
      <c r="G38" s="849"/>
      <c r="H38" s="318"/>
    </row>
    <row r="39" spans="1:19" ht="27" customHeight="1" x14ac:dyDescent="0.2">
      <c r="A39" s="831" t="s">
        <v>361</v>
      </c>
      <c r="B39" s="832"/>
      <c r="C39" s="832"/>
      <c r="D39" s="832"/>
      <c r="E39" s="832"/>
      <c r="F39" s="832"/>
      <c r="G39" s="832"/>
      <c r="H39" s="833"/>
    </row>
    <row r="40" spans="1:19" ht="9.75" customHeight="1" x14ac:dyDescent="0.2">
      <c r="A40" s="279"/>
      <c r="B40" s="280"/>
      <c r="C40" s="280"/>
      <c r="D40" s="304"/>
      <c r="E40" s="305"/>
      <c r="F40" s="312"/>
      <c r="G40" s="299"/>
      <c r="H40" s="306"/>
    </row>
    <row r="41" spans="1:19" ht="21" customHeight="1" x14ac:dyDescent="0.2">
      <c r="A41" s="319" t="s">
        <v>362</v>
      </c>
      <c r="B41" s="850" t="s">
        <v>363</v>
      </c>
      <c r="C41" s="866"/>
      <c r="D41" s="850" t="s">
        <v>283</v>
      </c>
      <c r="E41" s="866"/>
      <c r="F41" s="851"/>
      <c r="G41" s="320" t="s">
        <v>8</v>
      </c>
      <c r="H41" s="321" t="s">
        <v>364</v>
      </c>
    </row>
    <row r="42" spans="1:19" x14ac:dyDescent="0.2">
      <c r="A42" s="320">
        <v>1</v>
      </c>
      <c r="B42" s="850">
        <v>2</v>
      </c>
      <c r="C42" s="858"/>
      <c r="D42" s="850">
        <v>3</v>
      </c>
      <c r="E42" s="859"/>
      <c r="F42" s="858"/>
      <c r="G42" s="320">
        <v>4</v>
      </c>
      <c r="H42" s="320">
        <v>5</v>
      </c>
    </row>
    <row r="43" spans="1:19" ht="80.25" customHeight="1" x14ac:dyDescent="0.2">
      <c r="A43" s="493">
        <v>1</v>
      </c>
      <c r="B43" s="867" t="str">
        <f>A23</f>
        <v/>
      </c>
      <c r="C43" s="868"/>
      <c r="D43" s="869" t="str">
        <f>C23</f>
        <v/>
      </c>
      <c r="E43" s="870"/>
      <c r="F43" s="871"/>
      <c r="G43" s="324" t="str">
        <f>F23</f>
        <v/>
      </c>
      <c r="H43" s="324" t="str">
        <f>E23</f>
        <v/>
      </c>
      <c r="I43" s="872"/>
      <c r="J43" s="873"/>
      <c r="K43" s="873"/>
      <c r="L43" s="873"/>
      <c r="M43" s="873"/>
      <c r="N43" s="873"/>
      <c r="O43" s="873"/>
      <c r="P43" s="873"/>
      <c r="Q43" s="873"/>
      <c r="R43" s="873"/>
      <c r="S43" s="873"/>
    </row>
    <row r="44" spans="1:19" ht="80.25" customHeight="1" x14ac:dyDescent="0.2">
      <c r="A44" s="493">
        <v>2</v>
      </c>
      <c r="B44" s="867" t="str">
        <f>A24</f>
        <v/>
      </c>
      <c r="C44" s="868"/>
      <c r="D44" s="869" t="str">
        <f>C24</f>
        <v/>
      </c>
      <c r="E44" s="870"/>
      <c r="F44" s="871"/>
      <c r="G44" s="324" t="str">
        <f>F24</f>
        <v/>
      </c>
      <c r="H44" s="324" t="str">
        <f>E24</f>
        <v/>
      </c>
      <c r="I44" s="872"/>
      <c r="J44" s="873"/>
      <c r="K44" s="873"/>
      <c r="L44" s="873"/>
      <c r="M44" s="873"/>
      <c r="N44" s="873"/>
      <c r="O44" s="873"/>
      <c r="P44" s="873"/>
      <c r="Q44" s="873"/>
      <c r="R44" s="873"/>
      <c r="S44" s="873"/>
    </row>
    <row r="45" spans="1:19" ht="80.25" customHeight="1" x14ac:dyDescent="0.2">
      <c r="A45" s="493">
        <v>3</v>
      </c>
      <c r="B45" s="867" t="str">
        <f>A25</f>
        <v/>
      </c>
      <c r="C45" s="868"/>
      <c r="D45" s="869" t="str">
        <f>C25</f>
        <v/>
      </c>
      <c r="E45" s="870"/>
      <c r="F45" s="871"/>
      <c r="G45" s="324" t="str">
        <f>F25</f>
        <v/>
      </c>
      <c r="H45" s="324" t="str">
        <f>E25</f>
        <v/>
      </c>
      <c r="I45" s="872"/>
      <c r="J45" s="873"/>
      <c r="K45" s="873"/>
      <c r="L45" s="873"/>
      <c r="M45" s="873"/>
      <c r="N45" s="873"/>
      <c r="O45" s="873"/>
      <c r="P45" s="873"/>
      <c r="Q45" s="873"/>
      <c r="R45" s="873"/>
      <c r="S45" s="873"/>
    </row>
    <row r="46" spans="1:19" ht="78.75" customHeight="1" x14ac:dyDescent="0.2">
      <c r="A46" s="494">
        <v>4</v>
      </c>
      <c r="B46" s="874" t="str">
        <f>A26</f>
        <v/>
      </c>
      <c r="C46" s="875"/>
      <c r="D46" s="869" t="str">
        <f>C26</f>
        <v/>
      </c>
      <c r="E46" s="870"/>
      <c r="F46" s="871"/>
      <c r="G46" s="325" t="str">
        <f>F26</f>
        <v/>
      </c>
      <c r="H46" s="325" t="str">
        <f>E26</f>
        <v/>
      </c>
    </row>
    <row r="47" spans="1:19" ht="50.1" customHeight="1" x14ac:dyDescent="0.2">
      <c r="A47" s="495">
        <v>5</v>
      </c>
      <c r="B47" s="876" t="str">
        <f>A28</f>
        <v/>
      </c>
      <c r="C47" s="877"/>
      <c r="D47" s="878" t="str">
        <f>C28</f>
        <v/>
      </c>
      <c r="E47" s="879"/>
      <c r="F47" s="880"/>
      <c r="G47" s="326" t="str">
        <f>F28</f>
        <v/>
      </c>
      <c r="H47" s="326" t="str">
        <f>E28</f>
        <v/>
      </c>
    </row>
    <row r="48" spans="1:19" ht="24.75" customHeight="1" x14ac:dyDescent="0.2">
      <c r="A48" s="831" t="s">
        <v>365</v>
      </c>
      <c r="B48" s="832"/>
      <c r="C48" s="832"/>
      <c r="D48" s="832"/>
      <c r="E48" s="832"/>
      <c r="F48" s="832"/>
      <c r="G48" s="832"/>
      <c r="H48" s="833"/>
    </row>
    <row r="49" spans="1:8" ht="24.75" customHeight="1" x14ac:dyDescent="0.2">
      <c r="A49" s="831" t="s">
        <v>366</v>
      </c>
      <c r="B49" s="832"/>
      <c r="C49" s="832"/>
      <c r="D49" s="832"/>
      <c r="E49" s="832"/>
      <c r="F49" s="832"/>
      <c r="G49" s="832"/>
      <c r="H49" s="833"/>
    </row>
    <row r="50" spans="1:8" ht="18.75" customHeight="1" x14ac:dyDescent="0.2">
      <c r="A50" s="361"/>
      <c r="B50" s="362"/>
      <c r="C50" s="362"/>
      <c r="D50" s="362"/>
      <c r="E50" s="362"/>
      <c r="F50" s="362"/>
      <c r="G50" s="362"/>
      <c r="H50" s="363"/>
    </row>
    <row r="51" spans="1:8" ht="18" customHeight="1" x14ac:dyDescent="0.2">
      <c r="A51" s="887" t="s">
        <v>367</v>
      </c>
      <c r="B51" s="888"/>
      <c r="C51" s="888"/>
      <c r="D51" s="888"/>
      <c r="E51" s="889"/>
      <c r="F51" s="890" t="s">
        <v>8</v>
      </c>
      <c r="G51" s="891"/>
      <c r="H51" s="321" t="s">
        <v>364</v>
      </c>
    </row>
    <row r="52" spans="1:8" ht="18" customHeight="1" x14ac:dyDescent="0.2">
      <c r="A52" s="892"/>
      <c r="B52" s="893"/>
      <c r="C52" s="893"/>
      <c r="D52" s="893"/>
      <c r="E52" s="894"/>
      <c r="F52" s="895"/>
      <c r="G52" s="896"/>
      <c r="H52" s="496"/>
    </row>
    <row r="53" spans="1:8" ht="18" customHeight="1" x14ac:dyDescent="0.2">
      <c r="A53" s="497"/>
      <c r="B53" s="498"/>
      <c r="C53" s="498"/>
      <c r="D53" s="498"/>
      <c r="E53" s="499"/>
      <c r="F53" s="500"/>
      <c r="G53" s="501"/>
      <c r="H53" s="502"/>
    </row>
    <row r="54" spans="1:8" ht="18" customHeight="1" x14ac:dyDescent="0.2">
      <c r="A54" s="497"/>
      <c r="B54" s="498"/>
      <c r="C54" s="498"/>
      <c r="D54" s="498"/>
      <c r="E54" s="499"/>
      <c r="F54" s="500"/>
      <c r="G54" s="501"/>
      <c r="H54" s="502"/>
    </row>
    <row r="55" spans="1:8" ht="18" customHeight="1" x14ac:dyDescent="0.2">
      <c r="A55" s="897"/>
      <c r="B55" s="898"/>
      <c r="C55" s="898"/>
      <c r="D55" s="898"/>
      <c r="E55" s="899"/>
      <c r="F55" s="900"/>
      <c r="G55" s="901"/>
      <c r="H55" s="503"/>
    </row>
    <row r="56" spans="1:8" ht="21" customHeight="1" x14ac:dyDescent="0.2">
      <c r="A56" s="361" t="s">
        <v>321</v>
      </c>
      <c r="B56" s="336">
        <f>IF(DOJ=0,0,DOJ)</f>
        <v>0</v>
      </c>
      <c r="C56" s="362"/>
      <c r="D56" s="362"/>
      <c r="E56" s="362"/>
      <c r="F56" s="362"/>
      <c r="G56" s="362"/>
      <c r="H56" s="363"/>
    </row>
    <row r="57" spans="1:8" s="334" customFormat="1" ht="13.5" customHeight="1" x14ac:dyDescent="0.2">
      <c r="A57" s="279" t="s">
        <v>351</v>
      </c>
      <c r="B57" s="280"/>
      <c r="C57" s="280"/>
      <c r="D57" s="280"/>
      <c r="E57" s="291"/>
      <c r="F57" s="280"/>
      <c r="G57" s="476" t="s">
        <v>352</v>
      </c>
      <c r="H57" s="281"/>
    </row>
    <row r="58" spans="1:8" ht="16.5" customHeight="1" x14ac:dyDescent="0.2">
      <c r="A58" s="361"/>
      <c r="B58" s="362"/>
      <c r="C58" s="362"/>
      <c r="D58" s="362"/>
      <c r="E58" s="362"/>
      <c r="F58" s="362"/>
      <c r="G58" s="362"/>
      <c r="H58" s="363"/>
    </row>
    <row r="59" spans="1:8" s="311" customFormat="1" ht="18.75" customHeight="1" x14ac:dyDescent="0.25">
      <c r="A59" s="307"/>
      <c r="B59" s="308"/>
      <c r="C59" s="308"/>
      <c r="D59" s="309"/>
      <c r="E59" s="847" t="s">
        <v>368</v>
      </c>
      <c r="F59" s="848"/>
      <c r="G59" s="849"/>
      <c r="H59" s="310"/>
    </row>
    <row r="60" spans="1:8" s="311" customFormat="1" ht="18.75" customHeight="1" x14ac:dyDescent="0.2">
      <c r="A60" s="279" t="s">
        <v>369</v>
      </c>
      <c r="B60" s="308"/>
      <c r="C60" s="308"/>
      <c r="D60" s="309"/>
      <c r="E60" s="504"/>
      <c r="F60" s="504"/>
      <c r="G60" s="504"/>
      <c r="H60" s="310"/>
    </row>
    <row r="61" spans="1:8" s="311" customFormat="1" ht="12.75" customHeight="1" x14ac:dyDescent="0.25">
      <c r="A61" s="505" t="s">
        <v>370</v>
      </c>
      <c r="B61" s="308"/>
      <c r="C61" s="327" t="str">
        <f>F6</f>
        <v xml:space="preserve">  </v>
      </c>
      <c r="D61" s="506"/>
      <c r="E61" s="507"/>
      <c r="F61" s="484" t="s">
        <v>371</v>
      </c>
      <c r="G61" s="504"/>
      <c r="H61" s="310"/>
    </row>
    <row r="62" spans="1:8" ht="12.75" customHeight="1" x14ac:dyDescent="0.2">
      <c r="A62" s="831" t="s">
        <v>372</v>
      </c>
      <c r="B62" s="832"/>
      <c r="C62" s="832"/>
      <c r="D62" s="832"/>
      <c r="E62" s="832"/>
      <c r="F62" s="832"/>
      <c r="G62" s="832"/>
      <c r="H62" s="833"/>
    </row>
    <row r="63" spans="1:8" ht="21" customHeight="1" x14ac:dyDescent="0.2">
      <c r="A63" s="361"/>
      <c r="B63" s="362"/>
      <c r="C63" s="362"/>
      <c r="D63" s="362"/>
      <c r="E63" s="362"/>
      <c r="F63" s="269"/>
      <c r="G63" s="269"/>
      <c r="H63" s="270"/>
    </row>
    <row r="64" spans="1:8" ht="21" customHeight="1" x14ac:dyDescent="0.2">
      <c r="A64" s="361"/>
      <c r="B64" s="362"/>
      <c r="C64" s="362"/>
      <c r="D64" s="362"/>
      <c r="E64" s="362"/>
      <c r="F64" s="832" t="s">
        <v>373</v>
      </c>
      <c r="G64" s="832"/>
      <c r="H64" s="833"/>
    </row>
    <row r="65" spans="1:8" ht="21" customHeight="1" x14ac:dyDescent="0.2">
      <c r="A65" s="361"/>
      <c r="B65" s="362"/>
      <c r="C65" s="362"/>
      <c r="D65" s="362"/>
      <c r="E65" s="362"/>
      <c r="F65" s="832" t="s">
        <v>23</v>
      </c>
      <c r="G65" s="832"/>
      <c r="H65" s="833"/>
    </row>
    <row r="66" spans="1:8" ht="21" customHeight="1" x14ac:dyDescent="0.2">
      <c r="A66" s="361"/>
      <c r="B66" s="362"/>
      <c r="C66" s="362"/>
      <c r="D66" s="362"/>
      <c r="E66" s="362"/>
      <c r="F66" s="835" t="s">
        <v>374</v>
      </c>
      <c r="G66" s="881"/>
      <c r="H66" s="882"/>
    </row>
    <row r="67" spans="1:8" ht="21" customHeight="1" x14ac:dyDescent="0.2">
      <c r="A67" s="361"/>
      <c r="B67" s="362"/>
      <c r="C67" s="362"/>
      <c r="D67" s="362"/>
      <c r="E67" s="362"/>
      <c r="F67" s="881"/>
      <c r="G67" s="881"/>
      <c r="H67" s="882"/>
    </row>
    <row r="68" spans="1:8" ht="21" customHeight="1" x14ac:dyDescent="0.2">
      <c r="A68" s="361"/>
      <c r="B68" s="362"/>
      <c r="C68" s="362"/>
      <c r="D68" s="362"/>
      <c r="E68" s="362"/>
      <c r="F68" s="881" t="s">
        <v>375</v>
      </c>
      <c r="G68" s="881"/>
      <c r="H68" s="882"/>
    </row>
    <row r="69" spans="1:8" ht="30" customHeight="1" x14ac:dyDescent="0.2">
      <c r="A69" s="268"/>
      <c r="B69" s="269"/>
      <c r="C69" s="269"/>
      <c r="D69" s="269"/>
      <c r="E69" s="883" t="s">
        <v>376</v>
      </c>
      <c r="F69" s="883"/>
      <c r="G69" s="883"/>
      <c r="H69" s="884"/>
    </row>
    <row r="70" spans="1:8" ht="65.25" customHeight="1" x14ac:dyDescent="0.2">
      <c r="A70" s="508" t="s">
        <v>321</v>
      </c>
      <c r="B70" s="509">
        <f>B56</f>
        <v>0</v>
      </c>
      <c r="C70" s="510"/>
      <c r="D70" s="511"/>
      <c r="E70" s="510"/>
      <c r="F70" s="885" t="s">
        <v>377</v>
      </c>
      <c r="G70" s="885"/>
      <c r="H70" s="886"/>
    </row>
    <row r="71" spans="1:8" ht="21" customHeight="1" x14ac:dyDescent="0.2"/>
    <row r="72" spans="1:8" ht="21" hidden="1" customHeight="1" x14ac:dyDescent="0.2"/>
    <row r="73" spans="1:8" ht="21" hidden="1" customHeight="1" x14ac:dyDescent="0.2"/>
    <row r="74" spans="1:8" ht="21" hidden="1" customHeight="1" x14ac:dyDescent="0.2"/>
    <row r="75" spans="1:8" ht="21" hidden="1" customHeight="1" x14ac:dyDescent="0.2"/>
    <row r="76" spans="1:8" ht="21" hidden="1" customHeight="1" x14ac:dyDescent="0.2"/>
    <row r="77" spans="1:8" ht="21" hidden="1" customHeight="1" x14ac:dyDescent="0.2"/>
    <row r="78" spans="1:8" ht="21" hidden="1" customHeight="1" x14ac:dyDescent="0.2"/>
    <row r="79" spans="1:8" ht="21" hidden="1" customHeight="1" x14ac:dyDescent="0.2"/>
    <row r="80" spans="1:8" ht="21" hidden="1" customHeight="1" x14ac:dyDescent="0.2"/>
    <row r="81" ht="21" hidden="1" customHeight="1" x14ac:dyDescent="0.2"/>
    <row r="82" ht="21" hidden="1" customHeight="1" x14ac:dyDescent="0.2"/>
    <row r="83" ht="21" hidden="1" customHeight="1" x14ac:dyDescent="0.2"/>
    <row r="84" ht="21" hidden="1" customHeight="1" x14ac:dyDescent="0.2"/>
    <row r="85" ht="21" hidden="1" customHeight="1" x14ac:dyDescent="0.2"/>
    <row r="86" ht="21" hidden="1" customHeight="1" x14ac:dyDescent="0.2"/>
    <row r="87" ht="21" hidden="1" customHeight="1" x14ac:dyDescent="0.2"/>
    <row r="88" ht="21" hidden="1" customHeight="1" x14ac:dyDescent="0.2"/>
    <row r="89" ht="21" hidden="1" customHeight="1" x14ac:dyDescent="0.2"/>
    <row r="90" ht="21" hidden="1" customHeight="1" x14ac:dyDescent="0.2"/>
    <row r="91" ht="21" hidden="1" customHeight="1" x14ac:dyDescent="0.2"/>
    <row r="92" ht="21" hidden="1" customHeight="1" x14ac:dyDescent="0.2"/>
    <row r="93" ht="21" hidden="1" customHeight="1" x14ac:dyDescent="0.2"/>
    <row r="94" ht="21" hidden="1" customHeight="1" x14ac:dyDescent="0.2"/>
    <row r="95" ht="21" hidden="1" customHeight="1" x14ac:dyDescent="0.2"/>
    <row r="96" ht="21" hidden="1" customHeight="1" x14ac:dyDescent="0.2"/>
    <row r="97" ht="21" hidden="1" customHeight="1" x14ac:dyDescent="0.2"/>
    <row r="98" ht="21" hidden="1" customHeight="1" x14ac:dyDescent="0.2"/>
    <row r="99" ht="21" hidden="1" customHeight="1" x14ac:dyDescent="0.2"/>
    <row r="100" ht="21" hidden="1" customHeight="1" x14ac:dyDescent="0.2"/>
    <row r="101" ht="21" hidden="1" customHeight="1" x14ac:dyDescent="0.2"/>
    <row r="102" ht="21" hidden="1" customHeight="1" x14ac:dyDescent="0.2"/>
    <row r="103" ht="21" hidden="1" customHeight="1" x14ac:dyDescent="0.2"/>
    <row r="104" ht="21" hidden="1" customHeight="1" x14ac:dyDescent="0.2"/>
    <row r="105" ht="21" hidden="1" customHeight="1" x14ac:dyDescent="0.2"/>
    <row r="106" ht="21" hidden="1" customHeight="1" x14ac:dyDescent="0.2"/>
    <row r="107" ht="21" hidden="1" customHeight="1" x14ac:dyDescent="0.2"/>
    <row r="108" ht="21" hidden="1" customHeight="1" x14ac:dyDescent="0.2"/>
    <row r="109" ht="21" hidden="1" customHeight="1" x14ac:dyDescent="0.2"/>
    <row r="110" ht="21" hidden="1" customHeight="1" x14ac:dyDescent="0.2"/>
    <row r="111" ht="21" hidden="1" customHeight="1" x14ac:dyDescent="0.2"/>
    <row r="112" ht="21" hidden="1" customHeight="1" x14ac:dyDescent="0.2"/>
    <row r="113" ht="21" hidden="1" customHeight="1" x14ac:dyDescent="0.2"/>
    <row r="114" ht="21" hidden="1" customHeight="1" x14ac:dyDescent="0.2"/>
    <row r="115" ht="21" hidden="1" customHeight="1" x14ac:dyDescent="0.2"/>
    <row r="116" ht="21" hidden="1" customHeight="1" x14ac:dyDescent="0.2"/>
    <row r="117" ht="21" hidden="1" customHeight="1" x14ac:dyDescent="0.2"/>
    <row r="118" ht="21" hidden="1" customHeight="1" x14ac:dyDescent="0.2"/>
    <row r="119" ht="21" hidden="1" customHeight="1" x14ac:dyDescent="0.2"/>
    <row r="120" ht="21" hidden="1" customHeight="1" x14ac:dyDescent="0.2"/>
    <row r="121" ht="21" hidden="1" customHeight="1" x14ac:dyDescent="0.2"/>
    <row r="122" ht="21" hidden="1" customHeight="1" x14ac:dyDescent="0.2"/>
    <row r="123" ht="21" hidden="1" customHeight="1" x14ac:dyDescent="0.2"/>
    <row r="124" ht="21" hidden="1" customHeight="1" x14ac:dyDescent="0.2"/>
    <row r="125" ht="21" hidden="1" customHeight="1" x14ac:dyDescent="0.2"/>
    <row r="126" ht="21" hidden="1" customHeight="1" x14ac:dyDescent="0.2"/>
    <row r="127" ht="21" hidden="1" customHeight="1" x14ac:dyDescent="0.2"/>
    <row r="128" ht="21" hidden="1" customHeight="1" x14ac:dyDescent="0.2"/>
    <row r="129" ht="21" hidden="1" customHeight="1" x14ac:dyDescent="0.2"/>
    <row r="130" ht="21" hidden="1" customHeight="1" x14ac:dyDescent="0.2"/>
    <row r="131" ht="21" hidden="1" customHeight="1" x14ac:dyDescent="0.2"/>
    <row r="132" ht="21" hidden="1" customHeight="1" x14ac:dyDescent="0.2"/>
    <row r="133" ht="21" hidden="1" customHeight="1" x14ac:dyDescent="0.2"/>
    <row r="134" ht="21" hidden="1" customHeight="1" x14ac:dyDescent="0.2"/>
    <row r="135" ht="21" hidden="1" customHeight="1" x14ac:dyDescent="0.2"/>
    <row r="136" ht="21" hidden="1" customHeight="1" x14ac:dyDescent="0.2"/>
    <row r="137" ht="21" hidden="1" customHeight="1" x14ac:dyDescent="0.2"/>
    <row r="138" ht="21" hidden="1" customHeight="1" x14ac:dyDescent="0.2"/>
    <row r="139" ht="21" hidden="1" customHeight="1" x14ac:dyDescent="0.2"/>
    <row r="140" ht="21" hidden="1" customHeight="1" x14ac:dyDescent="0.2"/>
    <row r="141" ht="21" hidden="1" customHeight="1" x14ac:dyDescent="0.2"/>
    <row r="142" ht="21" hidden="1" customHeight="1" x14ac:dyDescent="0.2"/>
    <row r="143" ht="21" hidden="1" customHeight="1" x14ac:dyDescent="0.2"/>
    <row r="144" ht="21" hidden="1" customHeight="1" x14ac:dyDescent="0.2"/>
    <row r="145" ht="21" hidden="1" customHeight="1" x14ac:dyDescent="0.2"/>
    <row r="146" ht="21" hidden="1" customHeight="1" x14ac:dyDescent="0.2"/>
    <row r="147" ht="21" hidden="1" customHeight="1" x14ac:dyDescent="0.2"/>
    <row r="148" ht="21" hidden="1" customHeight="1" x14ac:dyDescent="0.2"/>
    <row r="149" ht="21" hidden="1" customHeight="1" x14ac:dyDescent="0.2"/>
    <row r="150" ht="21" hidden="1" customHeight="1" x14ac:dyDescent="0.2"/>
    <row r="151" ht="21" hidden="1" customHeight="1" x14ac:dyDescent="0.2"/>
    <row r="152" ht="21" hidden="1" customHeight="1" x14ac:dyDescent="0.2"/>
    <row r="153" ht="21" hidden="1" customHeight="1" x14ac:dyDescent="0.2"/>
    <row r="154" ht="21" hidden="1" customHeight="1" x14ac:dyDescent="0.2"/>
    <row r="155" ht="21" hidden="1" customHeight="1" x14ac:dyDescent="0.2"/>
    <row r="156" ht="21" hidden="1" customHeight="1" x14ac:dyDescent="0.2"/>
    <row r="157" ht="21" hidden="1" customHeight="1" x14ac:dyDescent="0.2"/>
    <row r="158" ht="21" hidden="1" customHeight="1" x14ac:dyDescent="0.2"/>
    <row r="159" ht="21" hidden="1" customHeight="1" x14ac:dyDescent="0.2"/>
    <row r="160" ht="21" hidden="1" customHeight="1" x14ac:dyDescent="0.2"/>
    <row r="161" ht="21" hidden="1" customHeight="1" x14ac:dyDescent="0.2"/>
    <row r="162" ht="21" hidden="1" customHeight="1" x14ac:dyDescent="0.2"/>
    <row r="163" ht="21" hidden="1" customHeight="1" x14ac:dyDescent="0.2"/>
    <row r="164" ht="21" hidden="1" customHeight="1" x14ac:dyDescent="0.2"/>
    <row r="165" ht="21" hidden="1" customHeight="1" x14ac:dyDescent="0.2"/>
    <row r="166" ht="21" hidden="1" customHeight="1" x14ac:dyDescent="0.2"/>
    <row r="167" ht="21" hidden="1" customHeight="1" x14ac:dyDescent="0.2"/>
    <row r="168" ht="21" hidden="1" customHeight="1" x14ac:dyDescent="0.2"/>
    <row r="169" ht="21" hidden="1" customHeight="1" x14ac:dyDescent="0.2"/>
    <row r="170" ht="21" hidden="1" customHeight="1" x14ac:dyDescent="0.2"/>
    <row r="171" ht="21" hidden="1" customHeight="1" x14ac:dyDescent="0.2"/>
    <row r="172" ht="21" hidden="1" customHeight="1" x14ac:dyDescent="0.2"/>
    <row r="173" ht="21" hidden="1" customHeight="1" x14ac:dyDescent="0.2"/>
    <row r="174" ht="21" hidden="1" customHeight="1" x14ac:dyDescent="0.2"/>
    <row r="175" ht="21" hidden="1" customHeight="1" x14ac:dyDescent="0.2"/>
    <row r="65519" spans="1:1" hidden="1" x14ac:dyDescent="0.2">
      <c r="A65519" s="329" t="s">
        <v>338</v>
      </c>
    </row>
    <row r="65520" spans="1:1" hidden="1" x14ac:dyDescent="0.2">
      <c r="A65520" s="267" t="s">
        <v>337</v>
      </c>
    </row>
  </sheetData>
  <sheetProtection algorithmName="SHA-512" hashValue="ijWOXrnUtGYbxc6SltQ2gROZ5OIui9ZoubfT4xjTC0mW5uqpwEfysF9GlmX6yogTtqMNcIYj2WOaRvUPpebhLQ==" saltValue="S5dCzdyf0/qYbR7c3/JTmw==" spinCount="100000" sheet="1" objects="1" scenarios="1"/>
  <mergeCells count="64">
    <mergeCell ref="F68:H68"/>
    <mergeCell ref="E69:H69"/>
    <mergeCell ref="F70:H70"/>
    <mergeCell ref="A27:B27"/>
    <mergeCell ref="E59:G59"/>
    <mergeCell ref="A62:H62"/>
    <mergeCell ref="F64:H64"/>
    <mergeCell ref="F65:H65"/>
    <mergeCell ref="F66:H66"/>
    <mergeCell ref="F67:H67"/>
    <mergeCell ref="A51:E51"/>
    <mergeCell ref="F51:G51"/>
    <mergeCell ref="A52:E52"/>
    <mergeCell ref="F52:G52"/>
    <mergeCell ref="A55:E55"/>
    <mergeCell ref="F55:G55"/>
    <mergeCell ref="D41:F41"/>
    <mergeCell ref="A49:H49"/>
    <mergeCell ref="B43:C43"/>
    <mergeCell ref="D43:F43"/>
    <mergeCell ref="I43:S43"/>
    <mergeCell ref="B44:C44"/>
    <mergeCell ref="D44:F44"/>
    <mergeCell ref="B45:C45"/>
    <mergeCell ref="D45:F45"/>
    <mergeCell ref="B46:C46"/>
    <mergeCell ref="D46:F46"/>
    <mergeCell ref="B47:C47"/>
    <mergeCell ref="D47:F47"/>
    <mergeCell ref="A48:H48"/>
    <mergeCell ref="I44:S44"/>
    <mergeCell ref="I45:S45"/>
    <mergeCell ref="A25:B25"/>
    <mergeCell ref="C25:D25"/>
    <mergeCell ref="A26:B26"/>
    <mergeCell ref="C26:D26"/>
    <mergeCell ref="B42:C42"/>
    <mergeCell ref="D42:F42"/>
    <mergeCell ref="A28:B28"/>
    <mergeCell ref="C28:D28"/>
    <mergeCell ref="A29:H29"/>
    <mergeCell ref="A30:H30"/>
    <mergeCell ref="D34:E34"/>
    <mergeCell ref="D35:E35"/>
    <mergeCell ref="D36:E36"/>
    <mergeCell ref="E38:G38"/>
    <mergeCell ref="A39:H39"/>
    <mergeCell ref="B41:C41"/>
    <mergeCell ref="C27:D27"/>
    <mergeCell ref="O1:U4"/>
    <mergeCell ref="A19:H19"/>
    <mergeCell ref="A5:H5"/>
    <mergeCell ref="F6:G6"/>
    <mergeCell ref="E8:H9"/>
    <mergeCell ref="F10:G10"/>
    <mergeCell ref="E18:G18"/>
    <mergeCell ref="A21:B21"/>
    <mergeCell ref="C21:D21"/>
    <mergeCell ref="A22:B22"/>
    <mergeCell ref="C22:D22"/>
    <mergeCell ref="A23:B23"/>
    <mergeCell ref="C23:D23"/>
    <mergeCell ref="A24:B24"/>
    <mergeCell ref="C24:D24"/>
  </mergeCells>
  <conditionalFormatting sqref="B70 B56 E8:H9 H11">
    <cfRule type="cellIs" dxfId="19" priority="1" stopIfTrue="1" operator="equal">
      <formula>0</formula>
    </cfRule>
  </conditionalFormatting>
  <dataValidations disablePrompts="1" count="2">
    <dataValidation type="list" allowBlank="1" showInputMessage="1" showErrorMessage="1" sqref="I23:I28 WVQ983064:WVQ983068 WLU983064:WLU983068 WBY983064:WBY983068 VSC983064:VSC983068 VIG983064:VIG983068 UYK983064:UYK983068 UOO983064:UOO983068 UES983064:UES983068 TUW983064:TUW983068 TLA983064:TLA983068 TBE983064:TBE983068 SRI983064:SRI983068 SHM983064:SHM983068 RXQ983064:RXQ983068 RNU983064:RNU983068 RDY983064:RDY983068 QUC983064:QUC983068 QKG983064:QKG983068 QAK983064:QAK983068 PQO983064:PQO983068 PGS983064:PGS983068 OWW983064:OWW983068 ONA983064:ONA983068 ODE983064:ODE983068 NTI983064:NTI983068 NJM983064:NJM983068 MZQ983064:MZQ983068 MPU983064:MPU983068 MFY983064:MFY983068 LWC983064:LWC983068 LMG983064:LMG983068 LCK983064:LCK983068 KSO983064:KSO983068 KIS983064:KIS983068 JYW983064:JYW983068 JPA983064:JPA983068 JFE983064:JFE983068 IVI983064:IVI983068 ILM983064:ILM983068 IBQ983064:IBQ983068 HRU983064:HRU983068 HHY983064:HHY983068 GYC983064:GYC983068 GOG983064:GOG983068 GEK983064:GEK983068 FUO983064:FUO983068 FKS983064:FKS983068 FAW983064:FAW983068 ERA983064:ERA983068 EHE983064:EHE983068 DXI983064:DXI983068 DNM983064:DNM983068 DDQ983064:DDQ983068 CTU983064:CTU983068 CJY983064:CJY983068 CAC983064:CAC983068 BQG983064:BQG983068 BGK983064:BGK983068 AWO983064:AWO983068 AMS983064:AMS983068 ACW983064:ACW983068 TA983064:TA983068 JE983064:JE983068 I983064:I983068 WVQ917528:WVQ917532 WLU917528:WLU917532 WBY917528:WBY917532 VSC917528:VSC917532 VIG917528:VIG917532 UYK917528:UYK917532 UOO917528:UOO917532 UES917528:UES917532 TUW917528:TUW917532 TLA917528:TLA917532 TBE917528:TBE917532 SRI917528:SRI917532 SHM917528:SHM917532 RXQ917528:RXQ917532 RNU917528:RNU917532 RDY917528:RDY917532 QUC917528:QUC917532 QKG917528:QKG917532 QAK917528:QAK917532 PQO917528:PQO917532 PGS917528:PGS917532 OWW917528:OWW917532 ONA917528:ONA917532 ODE917528:ODE917532 NTI917528:NTI917532 NJM917528:NJM917532 MZQ917528:MZQ917532 MPU917528:MPU917532 MFY917528:MFY917532 LWC917528:LWC917532 LMG917528:LMG917532 LCK917528:LCK917532 KSO917528:KSO917532 KIS917528:KIS917532 JYW917528:JYW917532 JPA917528:JPA917532 JFE917528:JFE917532 IVI917528:IVI917532 ILM917528:ILM917532 IBQ917528:IBQ917532 HRU917528:HRU917532 HHY917528:HHY917532 GYC917528:GYC917532 GOG917528:GOG917532 GEK917528:GEK917532 FUO917528:FUO917532 FKS917528:FKS917532 FAW917528:FAW917532 ERA917528:ERA917532 EHE917528:EHE917532 DXI917528:DXI917532 DNM917528:DNM917532 DDQ917528:DDQ917532 CTU917528:CTU917532 CJY917528:CJY917532 CAC917528:CAC917532 BQG917528:BQG917532 BGK917528:BGK917532 AWO917528:AWO917532 AMS917528:AMS917532 ACW917528:ACW917532 TA917528:TA917532 JE917528:JE917532 I917528:I917532 WVQ851992:WVQ851996 WLU851992:WLU851996 WBY851992:WBY851996 VSC851992:VSC851996 VIG851992:VIG851996 UYK851992:UYK851996 UOO851992:UOO851996 UES851992:UES851996 TUW851992:TUW851996 TLA851992:TLA851996 TBE851992:TBE851996 SRI851992:SRI851996 SHM851992:SHM851996 RXQ851992:RXQ851996 RNU851992:RNU851996 RDY851992:RDY851996 QUC851992:QUC851996 QKG851992:QKG851996 QAK851992:QAK851996 PQO851992:PQO851996 PGS851992:PGS851996 OWW851992:OWW851996 ONA851992:ONA851996 ODE851992:ODE851996 NTI851992:NTI851996 NJM851992:NJM851996 MZQ851992:MZQ851996 MPU851992:MPU851996 MFY851992:MFY851996 LWC851992:LWC851996 LMG851992:LMG851996 LCK851992:LCK851996 KSO851992:KSO851996 KIS851992:KIS851996 JYW851992:JYW851996 JPA851992:JPA851996 JFE851992:JFE851996 IVI851992:IVI851996 ILM851992:ILM851996 IBQ851992:IBQ851996 HRU851992:HRU851996 HHY851992:HHY851996 GYC851992:GYC851996 GOG851992:GOG851996 GEK851992:GEK851996 FUO851992:FUO851996 FKS851992:FKS851996 FAW851992:FAW851996 ERA851992:ERA851996 EHE851992:EHE851996 DXI851992:DXI851996 DNM851992:DNM851996 DDQ851992:DDQ851996 CTU851992:CTU851996 CJY851992:CJY851996 CAC851992:CAC851996 BQG851992:BQG851996 BGK851992:BGK851996 AWO851992:AWO851996 AMS851992:AMS851996 ACW851992:ACW851996 TA851992:TA851996 JE851992:JE851996 I851992:I851996 WVQ786456:WVQ786460 WLU786456:WLU786460 WBY786456:WBY786460 VSC786456:VSC786460 VIG786456:VIG786460 UYK786456:UYK786460 UOO786456:UOO786460 UES786456:UES786460 TUW786456:TUW786460 TLA786456:TLA786460 TBE786456:TBE786460 SRI786456:SRI786460 SHM786456:SHM786460 RXQ786456:RXQ786460 RNU786456:RNU786460 RDY786456:RDY786460 QUC786456:QUC786460 QKG786456:QKG786460 QAK786456:QAK786460 PQO786456:PQO786460 PGS786456:PGS786460 OWW786456:OWW786460 ONA786456:ONA786460 ODE786456:ODE786460 NTI786456:NTI786460 NJM786456:NJM786460 MZQ786456:MZQ786460 MPU786456:MPU786460 MFY786456:MFY786460 LWC786456:LWC786460 LMG786456:LMG786460 LCK786456:LCK786460 KSO786456:KSO786460 KIS786456:KIS786460 JYW786456:JYW786460 JPA786456:JPA786460 JFE786456:JFE786460 IVI786456:IVI786460 ILM786456:ILM786460 IBQ786456:IBQ786460 HRU786456:HRU786460 HHY786456:HHY786460 GYC786456:GYC786460 GOG786456:GOG786460 GEK786456:GEK786460 FUO786456:FUO786460 FKS786456:FKS786460 FAW786456:FAW786460 ERA786456:ERA786460 EHE786456:EHE786460 DXI786456:DXI786460 DNM786456:DNM786460 DDQ786456:DDQ786460 CTU786456:CTU786460 CJY786456:CJY786460 CAC786456:CAC786460 BQG786456:BQG786460 BGK786456:BGK786460 AWO786456:AWO786460 AMS786456:AMS786460 ACW786456:ACW786460 TA786456:TA786460 JE786456:JE786460 I786456:I786460 WVQ720920:WVQ720924 WLU720920:WLU720924 WBY720920:WBY720924 VSC720920:VSC720924 VIG720920:VIG720924 UYK720920:UYK720924 UOO720920:UOO720924 UES720920:UES720924 TUW720920:TUW720924 TLA720920:TLA720924 TBE720920:TBE720924 SRI720920:SRI720924 SHM720920:SHM720924 RXQ720920:RXQ720924 RNU720920:RNU720924 RDY720920:RDY720924 QUC720920:QUC720924 QKG720920:QKG720924 QAK720920:QAK720924 PQO720920:PQO720924 PGS720920:PGS720924 OWW720920:OWW720924 ONA720920:ONA720924 ODE720920:ODE720924 NTI720920:NTI720924 NJM720920:NJM720924 MZQ720920:MZQ720924 MPU720920:MPU720924 MFY720920:MFY720924 LWC720920:LWC720924 LMG720920:LMG720924 LCK720920:LCK720924 KSO720920:KSO720924 KIS720920:KIS720924 JYW720920:JYW720924 JPA720920:JPA720924 JFE720920:JFE720924 IVI720920:IVI720924 ILM720920:ILM720924 IBQ720920:IBQ720924 HRU720920:HRU720924 HHY720920:HHY720924 GYC720920:GYC720924 GOG720920:GOG720924 GEK720920:GEK720924 FUO720920:FUO720924 FKS720920:FKS720924 FAW720920:FAW720924 ERA720920:ERA720924 EHE720920:EHE720924 DXI720920:DXI720924 DNM720920:DNM720924 DDQ720920:DDQ720924 CTU720920:CTU720924 CJY720920:CJY720924 CAC720920:CAC720924 BQG720920:BQG720924 BGK720920:BGK720924 AWO720920:AWO720924 AMS720920:AMS720924 ACW720920:ACW720924 TA720920:TA720924 JE720920:JE720924 I720920:I720924 WVQ655384:WVQ655388 WLU655384:WLU655388 WBY655384:WBY655388 VSC655384:VSC655388 VIG655384:VIG655388 UYK655384:UYK655388 UOO655384:UOO655388 UES655384:UES655388 TUW655384:TUW655388 TLA655384:TLA655388 TBE655384:TBE655388 SRI655384:SRI655388 SHM655384:SHM655388 RXQ655384:RXQ655388 RNU655384:RNU655388 RDY655384:RDY655388 QUC655384:QUC655388 QKG655384:QKG655388 QAK655384:QAK655388 PQO655384:PQO655388 PGS655384:PGS655388 OWW655384:OWW655388 ONA655384:ONA655388 ODE655384:ODE655388 NTI655384:NTI655388 NJM655384:NJM655388 MZQ655384:MZQ655388 MPU655384:MPU655388 MFY655384:MFY655388 LWC655384:LWC655388 LMG655384:LMG655388 LCK655384:LCK655388 KSO655384:KSO655388 KIS655384:KIS655388 JYW655384:JYW655388 JPA655384:JPA655388 JFE655384:JFE655388 IVI655384:IVI655388 ILM655384:ILM655388 IBQ655384:IBQ655388 HRU655384:HRU655388 HHY655384:HHY655388 GYC655384:GYC655388 GOG655384:GOG655388 GEK655384:GEK655388 FUO655384:FUO655388 FKS655384:FKS655388 FAW655384:FAW655388 ERA655384:ERA655388 EHE655384:EHE655388 DXI655384:DXI655388 DNM655384:DNM655388 DDQ655384:DDQ655388 CTU655384:CTU655388 CJY655384:CJY655388 CAC655384:CAC655388 BQG655384:BQG655388 BGK655384:BGK655388 AWO655384:AWO655388 AMS655384:AMS655388 ACW655384:ACW655388 TA655384:TA655388 JE655384:JE655388 I655384:I655388 WVQ589848:WVQ589852 WLU589848:WLU589852 WBY589848:WBY589852 VSC589848:VSC589852 VIG589848:VIG589852 UYK589848:UYK589852 UOO589848:UOO589852 UES589848:UES589852 TUW589848:TUW589852 TLA589848:TLA589852 TBE589848:TBE589852 SRI589848:SRI589852 SHM589848:SHM589852 RXQ589848:RXQ589852 RNU589848:RNU589852 RDY589848:RDY589852 QUC589848:QUC589852 QKG589848:QKG589852 QAK589848:QAK589852 PQO589848:PQO589852 PGS589848:PGS589852 OWW589848:OWW589852 ONA589848:ONA589852 ODE589848:ODE589852 NTI589848:NTI589852 NJM589848:NJM589852 MZQ589848:MZQ589852 MPU589848:MPU589852 MFY589848:MFY589852 LWC589848:LWC589852 LMG589848:LMG589852 LCK589848:LCK589852 KSO589848:KSO589852 KIS589848:KIS589852 JYW589848:JYW589852 JPA589848:JPA589852 JFE589848:JFE589852 IVI589848:IVI589852 ILM589848:ILM589852 IBQ589848:IBQ589852 HRU589848:HRU589852 HHY589848:HHY589852 GYC589848:GYC589852 GOG589848:GOG589852 GEK589848:GEK589852 FUO589848:FUO589852 FKS589848:FKS589852 FAW589848:FAW589852 ERA589848:ERA589852 EHE589848:EHE589852 DXI589848:DXI589852 DNM589848:DNM589852 DDQ589848:DDQ589852 CTU589848:CTU589852 CJY589848:CJY589852 CAC589848:CAC589852 BQG589848:BQG589852 BGK589848:BGK589852 AWO589848:AWO589852 AMS589848:AMS589852 ACW589848:ACW589852 TA589848:TA589852 JE589848:JE589852 I589848:I589852 WVQ524312:WVQ524316 WLU524312:WLU524316 WBY524312:WBY524316 VSC524312:VSC524316 VIG524312:VIG524316 UYK524312:UYK524316 UOO524312:UOO524316 UES524312:UES524316 TUW524312:TUW524316 TLA524312:TLA524316 TBE524312:TBE524316 SRI524312:SRI524316 SHM524312:SHM524316 RXQ524312:RXQ524316 RNU524312:RNU524316 RDY524312:RDY524316 QUC524312:QUC524316 QKG524312:QKG524316 QAK524312:QAK524316 PQO524312:PQO524316 PGS524312:PGS524316 OWW524312:OWW524316 ONA524312:ONA524316 ODE524312:ODE524316 NTI524312:NTI524316 NJM524312:NJM524316 MZQ524312:MZQ524316 MPU524312:MPU524316 MFY524312:MFY524316 LWC524312:LWC524316 LMG524312:LMG524316 LCK524312:LCK524316 KSO524312:KSO524316 KIS524312:KIS524316 JYW524312:JYW524316 JPA524312:JPA524316 JFE524312:JFE524316 IVI524312:IVI524316 ILM524312:ILM524316 IBQ524312:IBQ524316 HRU524312:HRU524316 HHY524312:HHY524316 GYC524312:GYC524316 GOG524312:GOG524316 GEK524312:GEK524316 FUO524312:FUO524316 FKS524312:FKS524316 FAW524312:FAW524316 ERA524312:ERA524316 EHE524312:EHE524316 DXI524312:DXI524316 DNM524312:DNM524316 DDQ524312:DDQ524316 CTU524312:CTU524316 CJY524312:CJY524316 CAC524312:CAC524316 BQG524312:BQG524316 BGK524312:BGK524316 AWO524312:AWO524316 AMS524312:AMS524316 ACW524312:ACW524316 TA524312:TA524316 JE524312:JE524316 I524312:I524316 WVQ458776:WVQ458780 WLU458776:WLU458780 WBY458776:WBY458780 VSC458776:VSC458780 VIG458776:VIG458780 UYK458776:UYK458780 UOO458776:UOO458780 UES458776:UES458780 TUW458776:TUW458780 TLA458776:TLA458780 TBE458776:TBE458780 SRI458776:SRI458780 SHM458776:SHM458780 RXQ458776:RXQ458780 RNU458776:RNU458780 RDY458776:RDY458780 QUC458776:QUC458780 QKG458776:QKG458780 QAK458776:QAK458780 PQO458776:PQO458780 PGS458776:PGS458780 OWW458776:OWW458780 ONA458776:ONA458780 ODE458776:ODE458780 NTI458776:NTI458780 NJM458776:NJM458780 MZQ458776:MZQ458780 MPU458776:MPU458780 MFY458776:MFY458780 LWC458776:LWC458780 LMG458776:LMG458780 LCK458776:LCK458780 KSO458776:KSO458780 KIS458776:KIS458780 JYW458776:JYW458780 JPA458776:JPA458780 JFE458776:JFE458780 IVI458776:IVI458780 ILM458776:ILM458780 IBQ458776:IBQ458780 HRU458776:HRU458780 HHY458776:HHY458780 GYC458776:GYC458780 GOG458776:GOG458780 GEK458776:GEK458780 FUO458776:FUO458780 FKS458776:FKS458780 FAW458776:FAW458780 ERA458776:ERA458780 EHE458776:EHE458780 DXI458776:DXI458780 DNM458776:DNM458780 DDQ458776:DDQ458780 CTU458776:CTU458780 CJY458776:CJY458780 CAC458776:CAC458780 BQG458776:BQG458780 BGK458776:BGK458780 AWO458776:AWO458780 AMS458776:AMS458780 ACW458776:ACW458780 TA458776:TA458780 JE458776:JE458780 I458776:I458780 WVQ393240:WVQ393244 WLU393240:WLU393244 WBY393240:WBY393244 VSC393240:VSC393244 VIG393240:VIG393244 UYK393240:UYK393244 UOO393240:UOO393244 UES393240:UES393244 TUW393240:TUW393244 TLA393240:TLA393244 TBE393240:TBE393244 SRI393240:SRI393244 SHM393240:SHM393244 RXQ393240:RXQ393244 RNU393240:RNU393244 RDY393240:RDY393244 QUC393240:QUC393244 QKG393240:QKG393244 QAK393240:QAK393244 PQO393240:PQO393244 PGS393240:PGS393244 OWW393240:OWW393244 ONA393240:ONA393244 ODE393240:ODE393244 NTI393240:NTI393244 NJM393240:NJM393244 MZQ393240:MZQ393244 MPU393240:MPU393244 MFY393240:MFY393244 LWC393240:LWC393244 LMG393240:LMG393244 LCK393240:LCK393244 KSO393240:KSO393244 KIS393240:KIS393244 JYW393240:JYW393244 JPA393240:JPA393244 JFE393240:JFE393244 IVI393240:IVI393244 ILM393240:ILM393244 IBQ393240:IBQ393244 HRU393240:HRU393244 HHY393240:HHY393244 GYC393240:GYC393244 GOG393240:GOG393244 GEK393240:GEK393244 FUO393240:FUO393244 FKS393240:FKS393244 FAW393240:FAW393244 ERA393240:ERA393244 EHE393240:EHE393244 DXI393240:DXI393244 DNM393240:DNM393244 DDQ393240:DDQ393244 CTU393240:CTU393244 CJY393240:CJY393244 CAC393240:CAC393244 BQG393240:BQG393244 BGK393240:BGK393244 AWO393240:AWO393244 AMS393240:AMS393244 ACW393240:ACW393244 TA393240:TA393244 JE393240:JE393244 I393240:I393244 WVQ327704:WVQ327708 WLU327704:WLU327708 WBY327704:WBY327708 VSC327704:VSC327708 VIG327704:VIG327708 UYK327704:UYK327708 UOO327704:UOO327708 UES327704:UES327708 TUW327704:TUW327708 TLA327704:TLA327708 TBE327704:TBE327708 SRI327704:SRI327708 SHM327704:SHM327708 RXQ327704:RXQ327708 RNU327704:RNU327708 RDY327704:RDY327708 QUC327704:QUC327708 QKG327704:QKG327708 QAK327704:QAK327708 PQO327704:PQO327708 PGS327704:PGS327708 OWW327704:OWW327708 ONA327704:ONA327708 ODE327704:ODE327708 NTI327704:NTI327708 NJM327704:NJM327708 MZQ327704:MZQ327708 MPU327704:MPU327708 MFY327704:MFY327708 LWC327704:LWC327708 LMG327704:LMG327708 LCK327704:LCK327708 KSO327704:KSO327708 KIS327704:KIS327708 JYW327704:JYW327708 JPA327704:JPA327708 JFE327704:JFE327708 IVI327704:IVI327708 ILM327704:ILM327708 IBQ327704:IBQ327708 HRU327704:HRU327708 HHY327704:HHY327708 GYC327704:GYC327708 GOG327704:GOG327708 GEK327704:GEK327708 FUO327704:FUO327708 FKS327704:FKS327708 FAW327704:FAW327708 ERA327704:ERA327708 EHE327704:EHE327708 DXI327704:DXI327708 DNM327704:DNM327708 DDQ327704:DDQ327708 CTU327704:CTU327708 CJY327704:CJY327708 CAC327704:CAC327708 BQG327704:BQG327708 BGK327704:BGK327708 AWO327704:AWO327708 AMS327704:AMS327708 ACW327704:ACW327708 TA327704:TA327708 JE327704:JE327708 I327704:I327708 WVQ262168:WVQ262172 WLU262168:WLU262172 WBY262168:WBY262172 VSC262168:VSC262172 VIG262168:VIG262172 UYK262168:UYK262172 UOO262168:UOO262172 UES262168:UES262172 TUW262168:TUW262172 TLA262168:TLA262172 TBE262168:TBE262172 SRI262168:SRI262172 SHM262168:SHM262172 RXQ262168:RXQ262172 RNU262168:RNU262172 RDY262168:RDY262172 QUC262168:QUC262172 QKG262168:QKG262172 QAK262168:QAK262172 PQO262168:PQO262172 PGS262168:PGS262172 OWW262168:OWW262172 ONA262168:ONA262172 ODE262168:ODE262172 NTI262168:NTI262172 NJM262168:NJM262172 MZQ262168:MZQ262172 MPU262168:MPU262172 MFY262168:MFY262172 LWC262168:LWC262172 LMG262168:LMG262172 LCK262168:LCK262172 KSO262168:KSO262172 KIS262168:KIS262172 JYW262168:JYW262172 JPA262168:JPA262172 JFE262168:JFE262172 IVI262168:IVI262172 ILM262168:ILM262172 IBQ262168:IBQ262172 HRU262168:HRU262172 HHY262168:HHY262172 GYC262168:GYC262172 GOG262168:GOG262172 GEK262168:GEK262172 FUO262168:FUO262172 FKS262168:FKS262172 FAW262168:FAW262172 ERA262168:ERA262172 EHE262168:EHE262172 DXI262168:DXI262172 DNM262168:DNM262172 DDQ262168:DDQ262172 CTU262168:CTU262172 CJY262168:CJY262172 CAC262168:CAC262172 BQG262168:BQG262172 BGK262168:BGK262172 AWO262168:AWO262172 AMS262168:AMS262172 ACW262168:ACW262172 TA262168:TA262172 JE262168:JE262172 I262168:I262172 WVQ196632:WVQ196636 WLU196632:WLU196636 WBY196632:WBY196636 VSC196632:VSC196636 VIG196632:VIG196636 UYK196632:UYK196636 UOO196632:UOO196636 UES196632:UES196636 TUW196632:TUW196636 TLA196632:TLA196636 TBE196632:TBE196636 SRI196632:SRI196636 SHM196632:SHM196636 RXQ196632:RXQ196636 RNU196632:RNU196636 RDY196632:RDY196636 QUC196632:QUC196636 QKG196632:QKG196636 QAK196632:QAK196636 PQO196632:PQO196636 PGS196632:PGS196636 OWW196632:OWW196636 ONA196632:ONA196636 ODE196632:ODE196636 NTI196632:NTI196636 NJM196632:NJM196636 MZQ196632:MZQ196636 MPU196632:MPU196636 MFY196632:MFY196636 LWC196632:LWC196636 LMG196632:LMG196636 LCK196632:LCK196636 KSO196632:KSO196636 KIS196632:KIS196636 JYW196632:JYW196636 JPA196632:JPA196636 JFE196632:JFE196636 IVI196632:IVI196636 ILM196632:ILM196636 IBQ196632:IBQ196636 HRU196632:HRU196636 HHY196632:HHY196636 GYC196632:GYC196636 GOG196632:GOG196636 GEK196632:GEK196636 FUO196632:FUO196636 FKS196632:FKS196636 FAW196632:FAW196636 ERA196632:ERA196636 EHE196632:EHE196636 DXI196632:DXI196636 DNM196632:DNM196636 DDQ196632:DDQ196636 CTU196632:CTU196636 CJY196632:CJY196636 CAC196632:CAC196636 BQG196632:BQG196636 BGK196632:BGK196636 AWO196632:AWO196636 AMS196632:AMS196636 ACW196632:ACW196636 TA196632:TA196636 JE196632:JE196636 I196632:I196636 WVQ131096:WVQ131100 WLU131096:WLU131100 WBY131096:WBY131100 VSC131096:VSC131100 VIG131096:VIG131100 UYK131096:UYK131100 UOO131096:UOO131100 UES131096:UES131100 TUW131096:TUW131100 TLA131096:TLA131100 TBE131096:TBE131100 SRI131096:SRI131100 SHM131096:SHM131100 RXQ131096:RXQ131100 RNU131096:RNU131100 RDY131096:RDY131100 QUC131096:QUC131100 QKG131096:QKG131100 QAK131096:QAK131100 PQO131096:PQO131100 PGS131096:PGS131100 OWW131096:OWW131100 ONA131096:ONA131100 ODE131096:ODE131100 NTI131096:NTI131100 NJM131096:NJM131100 MZQ131096:MZQ131100 MPU131096:MPU131100 MFY131096:MFY131100 LWC131096:LWC131100 LMG131096:LMG131100 LCK131096:LCK131100 KSO131096:KSO131100 KIS131096:KIS131100 JYW131096:JYW131100 JPA131096:JPA131100 JFE131096:JFE131100 IVI131096:IVI131100 ILM131096:ILM131100 IBQ131096:IBQ131100 HRU131096:HRU131100 HHY131096:HHY131100 GYC131096:GYC131100 GOG131096:GOG131100 GEK131096:GEK131100 FUO131096:FUO131100 FKS131096:FKS131100 FAW131096:FAW131100 ERA131096:ERA131100 EHE131096:EHE131100 DXI131096:DXI131100 DNM131096:DNM131100 DDQ131096:DDQ131100 CTU131096:CTU131100 CJY131096:CJY131100 CAC131096:CAC131100 BQG131096:BQG131100 BGK131096:BGK131100 AWO131096:AWO131100 AMS131096:AMS131100 ACW131096:ACW131100 TA131096:TA131100 JE131096:JE131100 I131096:I131100 WVQ65560:WVQ65564 WLU65560:WLU65564 WBY65560:WBY65564 VSC65560:VSC65564 VIG65560:VIG65564 UYK65560:UYK65564 UOO65560:UOO65564 UES65560:UES65564 TUW65560:TUW65564 TLA65560:TLA65564 TBE65560:TBE65564 SRI65560:SRI65564 SHM65560:SHM65564 RXQ65560:RXQ65564 RNU65560:RNU65564 RDY65560:RDY65564 QUC65560:QUC65564 QKG65560:QKG65564 QAK65560:QAK65564 PQO65560:PQO65564 PGS65560:PGS65564 OWW65560:OWW65564 ONA65560:ONA65564 ODE65560:ODE65564 NTI65560:NTI65564 NJM65560:NJM65564 MZQ65560:MZQ65564 MPU65560:MPU65564 MFY65560:MFY65564 LWC65560:LWC65564 LMG65560:LMG65564 LCK65560:LCK65564 KSO65560:KSO65564 KIS65560:KIS65564 JYW65560:JYW65564 JPA65560:JPA65564 JFE65560:JFE65564 IVI65560:IVI65564 ILM65560:ILM65564 IBQ65560:IBQ65564 HRU65560:HRU65564 HHY65560:HHY65564 GYC65560:GYC65564 GOG65560:GOG65564 GEK65560:GEK65564 FUO65560:FUO65564 FKS65560:FKS65564 FAW65560:FAW65564 ERA65560:ERA65564 EHE65560:EHE65564 DXI65560:DXI65564 DNM65560:DNM65564 DDQ65560:DDQ65564 CTU65560:CTU65564 CJY65560:CJY65564 CAC65560:CAC65564 BQG65560:BQG65564 BGK65560:BGK65564 AWO65560:AWO65564 AMS65560:AMS65564 ACW65560:ACW65564 TA65560:TA65564 JE65560:JE65564 I65560:I65564 WVQ23:WVQ28 WLU23:WLU28 WBY23:WBY28 VSC23:VSC28 VIG23:VIG28 UYK23:UYK28 UOO23:UOO28 UES23:UES28 TUW23:TUW28 TLA23:TLA28 TBE23:TBE28 SRI23:SRI28 SHM23:SHM28 RXQ23:RXQ28 RNU23:RNU28 RDY23:RDY28 QUC23:QUC28 QKG23:QKG28 QAK23:QAK28 PQO23:PQO28 PGS23:PGS28 OWW23:OWW28 ONA23:ONA28 ODE23:ODE28 NTI23:NTI28 NJM23:NJM28 MZQ23:MZQ28 MPU23:MPU28 MFY23:MFY28 LWC23:LWC28 LMG23:LMG28 LCK23:LCK28 KSO23:KSO28 KIS23:KIS28 JYW23:JYW28 JPA23:JPA28 JFE23:JFE28 IVI23:IVI28 ILM23:ILM28 IBQ23:IBQ28 HRU23:HRU28 HHY23:HHY28 GYC23:GYC28 GOG23:GOG28 GEK23:GEK28 FUO23:FUO28 FKS23:FKS28 FAW23:FAW28 ERA23:ERA28 EHE23:EHE28 DXI23:DXI28 DNM23:DNM28 DDQ23:DDQ28 CTU23:CTU28 CJY23:CJY28 CAC23:CAC28 BQG23:BQG28 BGK23:BGK28 AWO23:AWO28 AMS23:AMS28 ACW23:ACW28 TA23:TA28 JE23:JE28" xr:uid="{00000000-0002-0000-0900-000000000000}">
      <formula1>"Permenant,Temporary,Other"</formula1>
    </dataValidation>
    <dataValidation allowBlank="1" sqref="A52:E52 WVI983092:WVM983092 WLM983092:WLQ983092 WBQ983092:WBU983092 VRU983092:VRY983092 VHY983092:VIC983092 UYC983092:UYG983092 UOG983092:UOK983092 UEK983092:UEO983092 TUO983092:TUS983092 TKS983092:TKW983092 TAW983092:TBA983092 SRA983092:SRE983092 SHE983092:SHI983092 RXI983092:RXM983092 RNM983092:RNQ983092 RDQ983092:RDU983092 QTU983092:QTY983092 QJY983092:QKC983092 QAC983092:QAG983092 PQG983092:PQK983092 PGK983092:PGO983092 OWO983092:OWS983092 OMS983092:OMW983092 OCW983092:ODA983092 NTA983092:NTE983092 NJE983092:NJI983092 MZI983092:MZM983092 MPM983092:MPQ983092 MFQ983092:MFU983092 LVU983092:LVY983092 LLY983092:LMC983092 LCC983092:LCG983092 KSG983092:KSK983092 KIK983092:KIO983092 JYO983092:JYS983092 JOS983092:JOW983092 JEW983092:JFA983092 IVA983092:IVE983092 ILE983092:ILI983092 IBI983092:IBM983092 HRM983092:HRQ983092 HHQ983092:HHU983092 GXU983092:GXY983092 GNY983092:GOC983092 GEC983092:GEG983092 FUG983092:FUK983092 FKK983092:FKO983092 FAO983092:FAS983092 EQS983092:EQW983092 EGW983092:EHA983092 DXA983092:DXE983092 DNE983092:DNI983092 DDI983092:DDM983092 CTM983092:CTQ983092 CJQ983092:CJU983092 BZU983092:BZY983092 BPY983092:BQC983092 BGC983092:BGG983092 AWG983092:AWK983092 AMK983092:AMO983092 ACO983092:ACS983092 SS983092:SW983092 IW983092:JA983092 A983092:E983092 WVI917556:WVM917556 WLM917556:WLQ917556 WBQ917556:WBU917556 VRU917556:VRY917556 VHY917556:VIC917556 UYC917556:UYG917556 UOG917556:UOK917556 UEK917556:UEO917556 TUO917556:TUS917556 TKS917556:TKW917556 TAW917556:TBA917556 SRA917556:SRE917556 SHE917556:SHI917556 RXI917556:RXM917556 RNM917556:RNQ917556 RDQ917556:RDU917556 QTU917556:QTY917556 QJY917556:QKC917556 QAC917556:QAG917556 PQG917556:PQK917556 PGK917556:PGO917556 OWO917556:OWS917556 OMS917556:OMW917556 OCW917556:ODA917556 NTA917556:NTE917556 NJE917556:NJI917556 MZI917556:MZM917556 MPM917556:MPQ917556 MFQ917556:MFU917556 LVU917556:LVY917556 LLY917556:LMC917556 LCC917556:LCG917556 KSG917556:KSK917556 KIK917556:KIO917556 JYO917556:JYS917556 JOS917556:JOW917556 JEW917556:JFA917556 IVA917556:IVE917556 ILE917556:ILI917556 IBI917556:IBM917556 HRM917556:HRQ917556 HHQ917556:HHU917556 GXU917556:GXY917556 GNY917556:GOC917556 GEC917556:GEG917556 FUG917556:FUK917556 FKK917556:FKO917556 FAO917556:FAS917556 EQS917556:EQW917556 EGW917556:EHA917556 DXA917556:DXE917556 DNE917556:DNI917556 DDI917556:DDM917556 CTM917556:CTQ917556 CJQ917556:CJU917556 BZU917556:BZY917556 BPY917556:BQC917556 BGC917556:BGG917556 AWG917556:AWK917556 AMK917556:AMO917556 ACO917556:ACS917556 SS917556:SW917556 IW917556:JA917556 A917556:E917556 WVI852020:WVM852020 WLM852020:WLQ852020 WBQ852020:WBU852020 VRU852020:VRY852020 VHY852020:VIC852020 UYC852020:UYG852020 UOG852020:UOK852020 UEK852020:UEO852020 TUO852020:TUS852020 TKS852020:TKW852020 TAW852020:TBA852020 SRA852020:SRE852020 SHE852020:SHI852020 RXI852020:RXM852020 RNM852020:RNQ852020 RDQ852020:RDU852020 QTU852020:QTY852020 QJY852020:QKC852020 QAC852020:QAG852020 PQG852020:PQK852020 PGK852020:PGO852020 OWO852020:OWS852020 OMS852020:OMW852020 OCW852020:ODA852020 NTA852020:NTE852020 NJE852020:NJI852020 MZI852020:MZM852020 MPM852020:MPQ852020 MFQ852020:MFU852020 LVU852020:LVY852020 LLY852020:LMC852020 LCC852020:LCG852020 KSG852020:KSK852020 KIK852020:KIO852020 JYO852020:JYS852020 JOS852020:JOW852020 JEW852020:JFA852020 IVA852020:IVE852020 ILE852020:ILI852020 IBI852020:IBM852020 HRM852020:HRQ852020 HHQ852020:HHU852020 GXU852020:GXY852020 GNY852020:GOC852020 GEC852020:GEG852020 FUG852020:FUK852020 FKK852020:FKO852020 FAO852020:FAS852020 EQS852020:EQW852020 EGW852020:EHA852020 DXA852020:DXE852020 DNE852020:DNI852020 DDI852020:DDM852020 CTM852020:CTQ852020 CJQ852020:CJU852020 BZU852020:BZY852020 BPY852020:BQC852020 BGC852020:BGG852020 AWG852020:AWK852020 AMK852020:AMO852020 ACO852020:ACS852020 SS852020:SW852020 IW852020:JA852020 A852020:E852020 WVI786484:WVM786484 WLM786484:WLQ786484 WBQ786484:WBU786484 VRU786484:VRY786484 VHY786484:VIC786484 UYC786484:UYG786484 UOG786484:UOK786484 UEK786484:UEO786484 TUO786484:TUS786484 TKS786484:TKW786484 TAW786484:TBA786484 SRA786484:SRE786484 SHE786484:SHI786484 RXI786484:RXM786484 RNM786484:RNQ786484 RDQ786484:RDU786484 QTU786484:QTY786484 QJY786484:QKC786484 QAC786484:QAG786484 PQG786484:PQK786484 PGK786484:PGO786484 OWO786484:OWS786484 OMS786484:OMW786484 OCW786484:ODA786484 NTA786484:NTE786484 NJE786484:NJI786484 MZI786484:MZM786484 MPM786484:MPQ786484 MFQ786484:MFU786484 LVU786484:LVY786484 LLY786484:LMC786484 LCC786484:LCG786484 KSG786484:KSK786484 KIK786484:KIO786484 JYO786484:JYS786484 JOS786484:JOW786484 JEW786484:JFA786484 IVA786484:IVE786484 ILE786484:ILI786484 IBI786484:IBM786484 HRM786484:HRQ786484 HHQ786484:HHU786484 GXU786484:GXY786484 GNY786484:GOC786484 GEC786484:GEG786484 FUG786484:FUK786484 FKK786484:FKO786484 FAO786484:FAS786484 EQS786484:EQW786484 EGW786484:EHA786484 DXA786484:DXE786484 DNE786484:DNI786484 DDI786484:DDM786484 CTM786484:CTQ786484 CJQ786484:CJU786484 BZU786484:BZY786484 BPY786484:BQC786484 BGC786484:BGG786484 AWG786484:AWK786484 AMK786484:AMO786484 ACO786484:ACS786484 SS786484:SW786484 IW786484:JA786484 A786484:E786484 WVI720948:WVM720948 WLM720948:WLQ720948 WBQ720948:WBU720948 VRU720948:VRY720948 VHY720948:VIC720948 UYC720948:UYG720948 UOG720948:UOK720948 UEK720948:UEO720948 TUO720948:TUS720948 TKS720948:TKW720948 TAW720948:TBA720948 SRA720948:SRE720948 SHE720948:SHI720948 RXI720948:RXM720948 RNM720948:RNQ720948 RDQ720948:RDU720948 QTU720948:QTY720948 QJY720948:QKC720948 QAC720948:QAG720948 PQG720948:PQK720948 PGK720948:PGO720948 OWO720948:OWS720948 OMS720948:OMW720948 OCW720948:ODA720948 NTA720948:NTE720948 NJE720948:NJI720948 MZI720948:MZM720948 MPM720948:MPQ720948 MFQ720948:MFU720948 LVU720948:LVY720948 LLY720948:LMC720948 LCC720948:LCG720948 KSG720948:KSK720948 KIK720948:KIO720948 JYO720948:JYS720948 JOS720948:JOW720948 JEW720948:JFA720948 IVA720948:IVE720948 ILE720948:ILI720948 IBI720948:IBM720948 HRM720948:HRQ720948 HHQ720948:HHU720948 GXU720948:GXY720948 GNY720948:GOC720948 GEC720948:GEG720948 FUG720948:FUK720948 FKK720948:FKO720948 FAO720948:FAS720948 EQS720948:EQW720948 EGW720948:EHA720948 DXA720948:DXE720948 DNE720948:DNI720948 DDI720948:DDM720948 CTM720948:CTQ720948 CJQ720948:CJU720948 BZU720948:BZY720948 BPY720948:BQC720948 BGC720948:BGG720948 AWG720948:AWK720948 AMK720948:AMO720948 ACO720948:ACS720948 SS720948:SW720948 IW720948:JA720948 A720948:E720948 WVI655412:WVM655412 WLM655412:WLQ655412 WBQ655412:WBU655412 VRU655412:VRY655412 VHY655412:VIC655412 UYC655412:UYG655412 UOG655412:UOK655412 UEK655412:UEO655412 TUO655412:TUS655412 TKS655412:TKW655412 TAW655412:TBA655412 SRA655412:SRE655412 SHE655412:SHI655412 RXI655412:RXM655412 RNM655412:RNQ655412 RDQ655412:RDU655412 QTU655412:QTY655412 QJY655412:QKC655412 QAC655412:QAG655412 PQG655412:PQK655412 PGK655412:PGO655412 OWO655412:OWS655412 OMS655412:OMW655412 OCW655412:ODA655412 NTA655412:NTE655412 NJE655412:NJI655412 MZI655412:MZM655412 MPM655412:MPQ655412 MFQ655412:MFU655412 LVU655412:LVY655412 LLY655412:LMC655412 LCC655412:LCG655412 KSG655412:KSK655412 KIK655412:KIO655412 JYO655412:JYS655412 JOS655412:JOW655412 JEW655412:JFA655412 IVA655412:IVE655412 ILE655412:ILI655412 IBI655412:IBM655412 HRM655412:HRQ655412 HHQ655412:HHU655412 GXU655412:GXY655412 GNY655412:GOC655412 GEC655412:GEG655412 FUG655412:FUK655412 FKK655412:FKO655412 FAO655412:FAS655412 EQS655412:EQW655412 EGW655412:EHA655412 DXA655412:DXE655412 DNE655412:DNI655412 DDI655412:DDM655412 CTM655412:CTQ655412 CJQ655412:CJU655412 BZU655412:BZY655412 BPY655412:BQC655412 BGC655412:BGG655412 AWG655412:AWK655412 AMK655412:AMO655412 ACO655412:ACS655412 SS655412:SW655412 IW655412:JA655412 A655412:E655412 WVI589876:WVM589876 WLM589876:WLQ589876 WBQ589876:WBU589876 VRU589876:VRY589876 VHY589876:VIC589876 UYC589876:UYG589876 UOG589876:UOK589876 UEK589876:UEO589876 TUO589876:TUS589876 TKS589876:TKW589876 TAW589876:TBA589876 SRA589876:SRE589876 SHE589876:SHI589876 RXI589876:RXM589876 RNM589876:RNQ589876 RDQ589876:RDU589876 QTU589876:QTY589876 QJY589876:QKC589876 QAC589876:QAG589876 PQG589876:PQK589876 PGK589876:PGO589876 OWO589876:OWS589876 OMS589876:OMW589876 OCW589876:ODA589876 NTA589876:NTE589876 NJE589876:NJI589876 MZI589876:MZM589876 MPM589876:MPQ589876 MFQ589876:MFU589876 LVU589876:LVY589876 LLY589876:LMC589876 LCC589876:LCG589876 KSG589876:KSK589876 KIK589876:KIO589876 JYO589876:JYS589876 JOS589876:JOW589876 JEW589876:JFA589876 IVA589876:IVE589876 ILE589876:ILI589876 IBI589876:IBM589876 HRM589876:HRQ589876 HHQ589876:HHU589876 GXU589876:GXY589876 GNY589876:GOC589876 GEC589876:GEG589876 FUG589876:FUK589876 FKK589876:FKO589876 FAO589876:FAS589876 EQS589876:EQW589876 EGW589876:EHA589876 DXA589876:DXE589876 DNE589876:DNI589876 DDI589876:DDM589876 CTM589876:CTQ589876 CJQ589876:CJU589876 BZU589876:BZY589876 BPY589876:BQC589876 BGC589876:BGG589876 AWG589876:AWK589876 AMK589876:AMO589876 ACO589876:ACS589876 SS589876:SW589876 IW589876:JA589876 A589876:E589876 WVI524340:WVM524340 WLM524340:WLQ524340 WBQ524340:WBU524340 VRU524340:VRY524340 VHY524340:VIC524340 UYC524340:UYG524340 UOG524340:UOK524340 UEK524340:UEO524340 TUO524340:TUS524340 TKS524340:TKW524340 TAW524340:TBA524340 SRA524340:SRE524340 SHE524340:SHI524340 RXI524340:RXM524340 RNM524340:RNQ524340 RDQ524340:RDU524340 QTU524340:QTY524340 QJY524340:QKC524340 QAC524340:QAG524340 PQG524340:PQK524340 PGK524340:PGO524340 OWO524340:OWS524340 OMS524340:OMW524340 OCW524340:ODA524340 NTA524340:NTE524340 NJE524340:NJI524340 MZI524340:MZM524340 MPM524340:MPQ524340 MFQ524340:MFU524340 LVU524340:LVY524340 LLY524340:LMC524340 LCC524340:LCG524340 KSG524340:KSK524340 KIK524340:KIO524340 JYO524340:JYS524340 JOS524340:JOW524340 JEW524340:JFA524340 IVA524340:IVE524340 ILE524340:ILI524340 IBI524340:IBM524340 HRM524340:HRQ524340 HHQ524340:HHU524340 GXU524340:GXY524340 GNY524340:GOC524340 GEC524340:GEG524340 FUG524340:FUK524340 FKK524340:FKO524340 FAO524340:FAS524340 EQS524340:EQW524340 EGW524340:EHA524340 DXA524340:DXE524340 DNE524340:DNI524340 DDI524340:DDM524340 CTM524340:CTQ524340 CJQ524340:CJU524340 BZU524340:BZY524340 BPY524340:BQC524340 BGC524340:BGG524340 AWG524340:AWK524340 AMK524340:AMO524340 ACO524340:ACS524340 SS524340:SW524340 IW524340:JA524340 A524340:E524340 WVI458804:WVM458804 WLM458804:WLQ458804 WBQ458804:WBU458804 VRU458804:VRY458804 VHY458804:VIC458804 UYC458804:UYG458804 UOG458804:UOK458804 UEK458804:UEO458804 TUO458804:TUS458804 TKS458804:TKW458804 TAW458804:TBA458804 SRA458804:SRE458804 SHE458804:SHI458804 RXI458804:RXM458804 RNM458804:RNQ458804 RDQ458804:RDU458804 QTU458804:QTY458804 QJY458804:QKC458804 QAC458804:QAG458804 PQG458804:PQK458804 PGK458804:PGO458804 OWO458804:OWS458804 OMS458804:OMW458804 OCW458804:ODA458804 NTA458804:NTE458804 NJE458804:NJI458804 MZI458804:MZM458804 MPM458804:MPQ458804 MFQ458804:MFU458804 LVU458804:LVY458804 LLY458804:LMC458804 LCC458804:LCG458804 KSG458804:KSK458804 KIK458804:KIO458804 JYO458804:JYS458804 JOS458804:JOW458804 JEW458804:JFA458804 IVA458804:IVE458804 ILE458804:ILI458804 IBI458804:IBM458804 HRM458804:HRQ458804 HHQ458804:HHU458804 GXU458804:GXY458804 GNY458804:GOC458804 GEC458804:GEG458804 FUG458804:FUK458804 FKK458804:FKO458804 FAO458804:FAS458804 EQS458804:EQW458804 EGW458804:EHA458804 DXA458804:DXE458804 DNE458804:DNI458804 DDI458804:DDM458804 CTM458804:CTQ458804 CJQ458804:CJU458804 BZU458804:BZY458804 BPY458804:BQC458804 BGC458804:BGG458804 AWG458804:AWK458804 AMK458804:AMO458804 ACO458804:ACS458804 SS458804:SW458804 IW458804:JA458804 A458804:E458804 WVI393268:WVM393268 WLM393268:WLQ393268 WBQ393268:WBU393268 VRU393268:VRY393268 VHY393268:VIC393268 UYC393268:UYG393268 UOG393268:UOK393268 UEK393268:UEO393268 TUO393268:TUS393268 TKS393268:TKW393268 TAW393268:TBA393268 SRA393268:SRE393268 SHE393268:SHI393268 RXI393268:RXM393268 RNM393268:RNQ393268 RDQ393268:RDU393268 QTU393268:QTY393268 QJY393268:QKC393268 QAC393268:QAG393268 PQG393268:PQK393268 PGK393268:PGO393268 OWO393268:OWS393268 OMS393268:OMW393268 OCW393268:ODA393268 NTA393268:NTE393268 NJE393268:NJI393268 MZI393268:MZM393268 MPM393268:MPQ393268 MFQ393268:MFU393268 LVU393268:LVY393268 LLY393268:LMC393268 LCC393268:LCG393268 KSG393268:KSK393268 KIK393268:KIO393268 JYO393268:JYS393268 JOS393268:JOW393268 JEW393268:JFA393268 IVA393268:IVE393268 ILE393268:ILI393268 IBI393268:IBM393268 HRM393268:HRQ393268 HHQ393268:HHU393268 GXU393268:GXY393268 GNY393268:GOC393268 GEC393268:GEG393268 FUG393268:FUK393268 FKK393268:FKO393268 FAO393268:FAS393268 EQS393268:EQW393268 EGW393268:EHA393268 DXA393268:DXE393268 DNE393268:DNI393268 DDI393268:DDM393268 CTM393268:CTQ393268 CJQ393268:CJU393268 BZU393268:BZY393268 BPY393268:BQC393268 BGC393268:BGG393268 AWG393268:AWK393268 AMK393268:AMO393268 ACO393268:ACS393268 SS393268:SW393268 IW393268:JA393268 A393268:E393268 WVI327732:WVM327732 WLM327732:WLQ327732 WBQ327732:WBU327732 VRU327732:VRY327732 VHY327732:VIC327732 UYC327732:UYG327732 UOG327732:UOK327732 UEK327732:UEO327732 TUO327732:TUS327732 TKS327732:TKW327732 TAW327732:TBA327732 SRA327732:SRE327732 SHE327732:SHI327732 RXI327732:RXM327732 RNM327732:RNQ327732 RDQ327732:RDU327732 QTU327732:QTY327732 QJY327732:QKC327732 QAC327732:QAG327732 PQG327732:PQK327732 PGK327732:PGO327732 OWO327732:OWS327732 OMS327732:OMW327732 OCW327732:ODA327732 NTA327732:NTE327732 NJE327732:NJI327732 MZI327732:MZM327732 MPM327732:MPQ327732 MFQ327732:MFU327732 LVU327732:LVY327732 LLY327732:LMC327732 LCC327732:LCG327732 KSG327732:KSK327732 KIK327732:KIO327732 JYO327732:JYS327732 JOS327732:JOW327732 JEW327732:JFA327732 IVA327732:IVE327732 ILE327732:ILI327732 IBI327732:IBM327732 HRM327732:HRQ327732 HHQ327732:HHU327732 GXU327732:GXY327732 GNY327732:GOC327732 GEC327732:GEG327732 FUG327732:FUK327732 FKK327732:FKO327732 FAO327732:FAS327732 EQS327732:EQW327732 EGW327732:EHA327732 DXA327732:DXE327732 DNE327732:DNI327732 DDI327732:DDM327732 CTM327732:CTQ327732 CJQ327732:CJU327732 BZU327732:BZY327732 BPY327732:BQC327732 BGC327732:BGG327732 AWG327732:AWK327732 AMK327732:AMO327732 ACO327732:ACS327732 SS327732:SW327732 IW327732:JA327732 A327732:E327732 WVI262196:WVM262196 WLM262196:WLQ262196 WBQ262196:WBU262196 VRU262196:VRY262196 VHY262196:VIC262196 UYC262196:UYG262196 UOG262196:UOK262196 UEK262196:UEO262196 TUO262196:TUS262196 TKS262196:TKW262196 TAW262196:TBA262196 SRA262196:SRE262196 SHE262196:SHI262196 RXI262196:RXM262196 RNM262196:RNQ262196 RDQ262196:RDU262196 QTU262196:QTY262196 QJY262196:QKC262196 QAC262196:QAG262196 PQG262196:PQK262196 PGK262196:PGO262196 OWO262196:OWS262196 OMS262196:OMW262196 OCW262196:ODA262196 NTA262196:NTE262196 NJE262196:NJI262196 MZI262196:MZM262196 MPM262196:MPQ262196 MFQ262196:MFU262196 LVU262196:LVY262196 LLY262196:LMC262196 LCC262196:LCG262196 KSG262196:KSK262196 KIK262196:KIO262196 JYO262196:JYS262196 JOS262196:JOW262196 JEW262196:JFA262196 IVA262196:IVE262196 ILE262196:ILI262196 IBI262196:IBM262196 HRM262196:HRQ262196 HHQ262196:HHU262196 GXU262196:GXY262196 GNY262196:GOC262196 GEC262196:GEG262196 FUG262196:FUK262196 FKK262196:FKO262196 FAO262196:FAS262196 EQS262196:EQW262196 EGW262196:EHA262196 DXA262196:DXE262196 DNE262196:DNI262196 DDI262196:DDM262196 CTM262196:CTQ262196 CJQ262196:CJU262196 BZU262196:BZY262196 BPY262196:BQC262196 BGC262196:BGG262196 AWG262196:AWK262196 AMK262196:AMO262196 ACO262196:ACS262196 SS262196:SW262196 IW262196:JA262196 A262196:E262196 WVI196660:WVM196660 WLM196660:WLQ196660 WBQ196660:WBU196660 VRU196660:VRY196660 VHY196660:VIC196660 UYC196660:UYG196660 UOG196660:UOK196660 UEK196660:UEO196660 TUO196660:TUS196660 TKS196660:TKW196660 TAW196660:TBA196660 SRA196660:SRE196660 SHE196660:SHI196660 RXI196660:RXM196660 RNM196660:RNQ196660 RDQ196660:RDU196660 QTU196660:QTY196660 QJY196660:QKC196660 QAC196660:QAG196660 PQG196660:PQK196660 PGK196660:PGO196660 OWO196660:OWS196660 OMS196660:OMW196660 OCW196660:ODA196660 NTA196660:NTE196660 NJE196660:NJI196660 MZI196660:MZM196660 MPM196660:MPQ196660 MFQ196660:MFU196660 LVU196660:LVY196660 LLY196660:LMC196660 LCC196660:LCG196660 KSG196660:KSK196660 KIK196660:KIO196660 JYO196660:JYS196660 JOS196660:JOW196660 JEW196660:JFA196660 IVA196660:IVE196660 ILE196660:ILI196660 IBI196660:IBM196660 HRM196660:HRQ196660 HHQ196660:HHU196660 GXU196660:GXY196660 GNY196660:GOC196660 GEC196660:GEG196660 FUG196660:FUK196660 FKK196660:FKO196660 FAO196660:FAS196660 EQS196660:EQW196660 EGW196660:EHA196660 DXA196660:DXE196660 DNE196660:DNI196660 DDI196660:DDM196660 CTM196660:CTQ196660 CJQ196660:CJU196660 BZU196660:BZY196660 BPY196660:BQC196660 BGC196660:BGG196660 AWG196660:AWK196660 AMK196660:AMO196660 ACO196660:ACS196660 SS196660:SW196660 IW196660:JA196660 A196660:E196660 WVI131124:WVM131124 WLM131124:WLQ131124 WBQ131124:WBU131124 VRU131124:VRY131124 VHY131124:VIC131124 UYC131124:UYG131124 UOG131124:UOK131124 UEK131124:UEO131124 TUO131124:TUS131124 TKS131124:TKW131124 TAW131124:TBA131124 SRA131124:SRE131124 SHE131124:SHI131124 RXI131124:RXM131124 RNM131124:RNQ131124 RDQ131124:RDU131124 QTU131124:QTY131124 QJY131124:QKC131124 QAC131124:QAG131124 PQG131124:PQK131124 PGK131124:PGO131124 OWO131124:OWS131124 OMS131124:OMW131124 OCW131124:ODA131124 NTA131124:NTE131124 NJE131124:NJI131124 MZI131124:MZM131124 MPM131124:MPQ131124 MFQ131124:MFU131124 LVU131124:LVY131124 LLY131124:LMC131124 LCC131124:LCG131124 KSG131124:KSK131124 KIK131124:KIO131124 JYO131124:JYS131124 JOS131124:JOW131124 JEW131124:JFA131124 IVA131124:IVE131124 ILE131124:ILI131124 IBI131124:IBM131124 HRM131124:HRQ131124 HHQ131124:HHU131124 GXU131124:GXY131124 GNY131124:GOC131124 GEC131124:GEG131124 FUG131124:FUK131124 FKK131124:FKO131124 FAO131124:FAS131124 EQS131124:EQW131124 EGW131124:EHA131124 DXA131124:DXE131124 DNE131124:DNI131124 DDI131124:DDM131124 CTM131124:CTQ131124 CJQ131124:CJU131124 BZU131124:BZY131124 BPY131124:BQC131124 BGC131124:BGG131124 AWG131124:AWK131124 AMK131124:AMO131124 ACO131124:ACS131124 SS131124:SW131124 IW131124:JA131124 A131124:E131124 WVI65588:WVM65588 WLM65588:WLQ65588 WBQ65588:WBU65588 VRU65588:VRY65588 VHY65588:VIC65588 UYC65588:UYG65588 UOG65588:UOK65588 UEK65588:UEO65588 TUO65588:TUS65588 TKS65588:TKW65588 TAW65588:TBA65588 SRA65588:SRE65588 SHE65588:SHI65588 RXI65588:RXM65588 RNM65588:RNQ65588 RDQ65588:RDU65588 QTU65588:QTY65588 QJY65588:QKC65588 QAC65588:QAG65588 PQG65588:PQK65588 PGK65588:PGO65588 OWO65588:OWS65588 OMS65588:OMW65588 OCW65588:ODA65588 NTA65588:NTE65588 NJE65588:NJI65588 MZI65588:MZM65588 MPM65588:MPQ65588 MFQ65588:MFU65588 LVU65588:LVY65588 LLY65588:LMC65588 LCC65588:LCG65588 KSG65588:KSK65588 KIK65588:KIO65588 JYO65588:JYS65588 JOS65588:JOW65588 JEW65588:JFA65588 IVA65588:IVE65588 ILE65588:ILI65588 IBI65588:IBM65588 HRM65588:HRQ65588 HHQ65588:HHU65588 GXU65588:GXY65588 GNY65588:GOC65588 GEC65588:GEG65588 FUG65588:FUK65588 FKK65588:FKO65588 FAO65588:FAS65588 EQS65588:EQW65588 EGW65588:EHA65588 DXA65588:DXE65588 DNE65588:DNI65588 DDI65588:DDM65588 CTM65588:CTQ65588 CJQ65588:CJU65588 BZU65588:BZY65588 BPY65588:BQC65588 BGC65588:BGG65588 AWG65588:AWK65588 AMK65588:AMO65588 ACO65588:ACS65588 SS65588:SW65588 IW65588:JA65588 A65588:E65588 WVI52:WVM52 WLM52:WLQ52 WBQ52:WBU52 VRU52:VRY52 VHY52:VIC52 UYC52:UYG52 UOG52:UOK52 UEK52:UEO52 TUO52:TUS52 TKS52:TKW52 TAW52:TBA52 SRA52:SRE52 SHE52:SHI52 RXI52:RXM52 RNM52:RNQ52 RDQ52:RDU52 QTU52:QTY52 QJY52:QKC52 QAC52:QAG52 PQG52:PQK52 PGK52:PGO52 OWO52:OWS52 OMS52:OMW52 OCW52:ODA52 NTA52:NTE52 NJE52:NJI52 MZI52:MZM52 MPM52:MPQ52 MFQ52:MFU52 LVU52:LVY52 LLY52:LMC52 LCC52:LCG52 KSG52:KSK52 KIK52:KIO52 JYO52:JYS52 JOS52:JOW52 JEW52:JFA52 IVA52:IVE52 ILE52:ILI52 IBI52:IBM52 HRM52:HRQ52 HHQ52:HHU52 GXU52:GXY52 GNY52:GOC52 GEC52:GEG52 FUG52:FUK52 FKK52:FKO52 FAO52:FAS52 EQS52:EQW52 EGW52:EHA52 DXA52:DXE52 DNE52:DNI52 DDI52:DDM52 CTM52:CTQ52 CJQ52:CJU52 BZU52:BZY52 BPY52:BQC52 BGC52:BGG52 AWG52:AWK52 AMK52:AMO52 ACO52:ACS52 SS52:SW52 IW52:JA52" xr:uid="{00000000-0002-0000-0900-000001000000}"/>
  </dataValidations>
  <pageMargins left="0.7" right="0.7" top="0.75" bottom="0.75" header="0.3" footer="0.3"/>
  <pageSetup scale="67" fitToHeight="2" orientation="portrait" r:id="rId1"/>
  <headerFooter>
    <oddHeader xml:space="preserve">&amp;L -   </oddHeader>
    <oddFooter>&amp;CPage &amp;P - &amp;N</oddFooter>
  </headerFooter>
  <rowBreaks count="1" manualBreakCount="1">
    <brk id="37" max="7" man="1"/>
  </rowBreak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WVQ117"/>
  <sheetViews>
    <sheetView showGridLines="0" showRowColHeaders="0" topLeftCell="A22" zoomScale="85" zoomScaleNormal="85" zoomScaleSheetLayoutView="85" workbookViewId="0">
      <selection activeCell="K41" sqref="K41"/>
    </sheetView>
  </sheetViews>
  <sheetFormatPr defaultColWidth="0" defaultRowHeight="12.75" zeroHeight="1" x14ac:dyDescent="0.2"/>
  <cols>
    <col min="1" max="1" width="4.140625" style="137" customWidth="1"/>
    <col min="2" max="2" width="20.7109375" style="137" customWidth="1"/>
    <col min="3" max="3" width="20.5703125" style="137" customWidth="1"/>
    <col min="4" max="4" width="4.140625" style="137" customWidth="1"/>
    <col min="5" max="5" width="12.42578125" style="137" customWidth="1"/>
    <col min="6" max="6" width="7.5703125" style="137" customWidth="1"/>
    <col min="7" max="7" width="12.28515625" style="137" customWidth="1"/>
    <col min="8" max="8" width="4.28515625" style="137" customWidth="1"/>
    <col min="9" max="9" width="7.28515625" style="137" customWidth="1"/>
    <col min="10" max="10" width="9.140625" style="137" customWidth="1"/>
    <col min="11" max="11" width="2.28515625" style="137" customWidth="1"/>
    <col min="12" max="256" width="9.140625" style="137" hidden="1"/>
    <col min="257" max="257" width="4.140625" style="137" hidden="1"/>
    <col min="258" max="258" width="20.7109375" style="137" hidden="1"/>
    <col min="259" max="259" width="19.140625" style="137" hidden="1"/>
    <col min="260" max="260" width="4.140625" style="137" hidden="1"/>
    <col min="261" max="261" width="12.42578125" style="137" hidden="1"/>
    <col min="262" max="262" width="7.5703125" style="137" hidden="1"/>
    <col min="263" max="263" width="12.28515625" style="137" hidden="1"/>
    <col min="264" max="264" width="4.28515625" style="137" hidden="1"/>
    <col min="265" max="265" width="7.28515625" style="137" hidden="1"/>
    <col min="266" max="512" width="9.140625" style="137" hidden="1"/>
    <col min="513" max="513" width="4.140625" style="137" hidden="1"/>
    <col min="514" max="514" width="20.7109375" style="137" hidden="1"/>
    <col min="515" max="515" width="19.140625" style="137" hidden="1"/>
    <col min="516" max="516" width="4.140625" style="137" hidden="1"/>
    <col min="517" max="517" width="12.42578125" style="137" hidden="1"/>
    <col min="518" max="518" width="7.5703125" style="137" hidden="1"/>
    <col min="519" max="519" width="12.28515625" style="137" hidden="1"/>
    <col min="520" max="520" width="4.28515625" style="137" hidden="1"/>
    <col min="521" max="521" width="7.28515625" style="137" hidden="1"/>
    <col min="522" max="768" width="9.140625" style="137" hidden="1"/>
    <col min="769" max="769" width="4.140625" style="137" hidden="1"/>
    <col min="770" max="770" width="20.7109375" style="137" hidden="1"/>
    <col min="771" max="771" width="19.140625" style="137" hidden="1"/>
    <col min="772" max="772" width="4.140625" style="137" hidden="1"/>
    <col min="773" max="773" width="12.42578125" style="137" hidden="1"/>
    <col min="774" max="774" width="7.5703125" style="137" hidden="1"/>
    <col min="775" max="775" width="12.28515625" style="137" hidden="1"/>
    <col min="776" max="776" width="4.28515625" style="137" hidden="1"/>
    <col min="777" max="777" width="7.28515625" style="137" hidden="1"/>
    <col min="778" max="1024" width="9.140625" style="137" hidden="1"/>
    <col min="1025" max="1025" width="4.140625" style="137" hidden="1"/>
    <col min="1026" max="1026" width="20.7109375" style="137" hidden="1"/>
    <col min="1027" max="1027" width="19.140625" style="137" hidden="1"/>
    <col min="1028" max="1028" width="4.140625" style="137" hidden="1"/>
    <col min="1029" max="1029" width="12.42578125" style="137" hidden="1"/>
    <col min="1030" max="1030" width="7.5703125" style="137" hidden="1"/>
    <col min="1031" max="1031" width="12.28515625" style="137" hidden="1"/>
    <col min="1032" max="1032" width="4.28515625" style="137" hidden="1"/>
    <col min="1033" max="1033" width="7.28515625" style="137" hidden="1"/>
    <col min="1034" max="1280" width="9.140625" style="137" hidden="1"/>
    <col min="1281" max="1281" width="4.140625" style="137" hidden="1"/>
    <col min="1282" max="1282" width="20.7109375" style="137" hidden="1"/>
    <col min="1283" max="1283" width="19.140625" style="137" hidden="1"/>
    <col min="1284" max="1284" width="4.140625" style="137" hidden="1"/>
    <col min="1285" max="1285" width="12.42578125" style="137" hidden="1"/>
    <col min="1286" max="1286" width="7.5703125" style="137" hidden="1"/>
    <col min="1287" max="1287" width="12.28515625" style="137" hidden="1"/>
    <col min="1288" max="1288" width="4.28515625" style="137" hidden="1"/>
    <col min="1289" max="1289" width="7.28515625" style="137" hidden="1"/>
    <col min="1290" max="1536" width="9.140625" style="137" hidden="1"/>
    <col min="1537" max="1537" width="4.140625" style="137" hidden="1"/>
    <col min="1538" max="1538" width="20.7109375" style="137" hidden="1"/>
    <col min="1539" max="1539" width="19.140625" style="137" hidden="1"/>
    <col min="1540" max="1540" width="4.140625" style="137" hidden="1"/>
    <col min="1541" max="1541" width="12.42578125" style="137" hidden="1"/>
    <col min="1542" max="1542" width="7.5703125" style="137" hidden="1"/>
    <col min="1543" max="1543" width="12.28515625" style="137" hidden="1"/>
    <col min="1544" max="1544" width="4.28515625" style="137" hidden="1"/>
    <col min="1545" max="1545" width="7.28515625" style="137" hidden="1"/>
    <col min="1546" max="1792" width="9.140625" style="137" hidden="1"/>
    <col min="1793" max="1793" width="4.140625" style="137" hidden="1"/>
    <col min="1794" max="1794" width="20.7109375" style="137" hidden="1"/>
    <col min="1795" max="1795" width="19.140625" style="137" hidden="1"/>
    <col min="1796" max="1796" width="4.140625" style="137" hidden="1"/>
    <col min="1797" max="1797" width="12.42578125" style="137" hidden="1"/>
    <col min="1798" max="1798" width="7.5703125" style="137" hidden="1"/>
    <col min="1799" max="1799" width="12.28515625" style="137" hidden="1"/>
    <col min="1800" max="1800" width="4.28515625" style="137" hidden="1"/>
    <col min="1801" max="1801" width="7.28515625" style="137" hidden="1"/>
    <col min="1802" max="2048" width="9.140625" style="137" hidden="1"/>
    <col min="2049" max="2049" width="4.140625" style="137" hidden="1"/>
    <col min="2050" max="2050" width="20.7109375" style="137" hidden="1"/>
    <col min="2051" max="2051" width="19.140625" style="137" hidden="1"/>
    <col min="2052" max="2052" width="4.140625" style="137" hidden="1"/>
    <col min="2053" max="2053" width="12.42578125" style="137" hidden="1"/>
    <col min="2054" max="2054" width="7.5703125" style="137" hidden="1"/>
    <col min="2055" max="2055" width="12.28515625" style="137" hidden="1"/>
    <col min="2056" max="2056" width="4.28515625" style="137" hidden="1"/>
    <col min="2057" max="2057" width="7.28515625" style="137" hidden="1"/>
    <col min="2058" max="2304" width="9.140625" style="137" hidden="1"/>
    <col min="2305" max="2305" width="4.140625" style="137" hidden="1"/>
    <col min="2306" max="2306" width="20.7109375" style="137" hidden="1"/>
    <col min="2307" max="2307" width="19.140625" style="137" hidden="1"/>
    <col min="2308" max="2308" width="4.140625" style="137" hidden="1"/>
    <col min="2309" max="2309" width="12.42578125" style="137" hidden="1"/>
    <col min="2310" max="2310" width="7.5703125" style="137" hidden="1"/>
    <col min="2311" max="2311" width="12.28515625" style="137" hidden="1"/>
    <col min="2312" max="2312" width="4.28515625" style="137" hidden="1"/>
    <col min="2313" max="2313" width="7.28515625" style="137" hidden="1"/>
    <col min="2314" max="2560" width="9.140625" style="137" hidden="1"/>
    <col min="2561" max="2561" width="4.140625" style="137" hidden="1"/>
    <col min="2562" max="2562" width="20.7109375" style="137" hidden="1"/>
    <col min="2563" max="2563" width="19.140625" style="137" hidden="1"/>
    <col min="2564" max="2564" width="4.140625" style="137" hidden="1"/>
    <col min="2565" max="2565" width="12.42578125" style="137" hidden="1"/>
    <col min="2566" max="2566" width="7.5703125" style="137" hidden="1"/>
    <col min="2567" max="2567" width="12.28515625" style="137" hidden="1"/>
    <col min="2568" max="2568" width="4.28515625" style="137" hidden="1"/>
    <col min="2569" max="2569" width="7.28515625" style="137" hidden="1"/>
    <col min="2570" max="2816" width="9.140625" style="137" hidden="1"/>
    <col min="2817" max="2817" width="4.140625" style="137" hidden="1"/>
    <col min="2818" max="2818" width="20.7109375" style="137" hidden="1"/>
    <col min="2819" max="2819" width="19.140625" style="137" hidden="1"/>
    <col min="2820" max="2820" width="4.140625" style="137" hidden="1"/>
    <col min="2821" max="2821" width="12.42578125" style="137" hidden="1"/>
    <col min="2822" max="2822" width="7.5703125" style="137" hidden="1"/>
    <col min="2823" max="2823" width="12.28515625" style="137" hidden="1"/>
    <col min="2824" max="2824" width="4.28515625" style="137" hidden="1"/>
    <col min="2825" max="2825" width="7.28515625" style="137" hidden="1"/>
    <col min="2826" max="3072" width="9.140625" style="137" hidden="1"/>
    <col min="3073" max="3073" width="4.140625" style="137" hidden="1"/>
    <col min="3074" max="3074" width="20.7109375" style="137" hidden="1"/>
    <col min="3075" max="3075" width="19.140625" style="137" hidden="1"/>
    <col min="3076" max="3076" width="4.140625" style="137" hidden="1"/>
    <col min="3077" max="3077" width="12.42578125" style="137" hidden="1"/>
    <col min="3078" max="3078" width="7.5703125" style="137" hidden="1"/>
    <col min="3079" max="3079" width="12.28515625" style="137" hidden="1"/>
    <col min="3080" max="3080" width="4.28515625" style="137" hidden="1"/>
    <col min="3081" max="3081" width="7.28515625" style="137" hidden="1"/>
    <col min="3082" max="3328" width="9.140625" style="137" hidden="1"/>
    <col min="3329" max="3329" width="4.140625" style="137" hidden="1"/>
    <col min="3330" max="3330" width="20.7109375" style="137" hidden="1"/>
    <col min="3331" max="3331" width="19.140625" style="137" hidden="1"/>
    <col min="3332" max="3332" width="4.140625" style="137" hidden="1"/>
    <col min="3333" max="3333" width="12.42578125" style="137" hidden="1"/>
    <col min="3334" max="3334" width="7.5703125" style="137" hidden="1"/>
    <col min="3335" max="3335" width="12.28515625" style="137" hidden="1"/>
    <col min="3336" max="3336" width="4.28515625" style="137" hidden="1"/>
    <col min="3337" max="3337" width="7.28515625" style="137" hidden="1"/>
    <col min="3338" max="3584" width="9.140625" style="137" hidden="1"/>
    <col min="3585" max="3585" width="4.140625" style="137" hidden="1"/>
    <col min="3586" max="3586" width="20.7109375" style="137" hidden="1"/>
    <col min="3587" max="3587" width="19.140625" style="137" hidden="1"/>
    <col min="3588" max="3588" width="4.140625" style="137" hidden="1"/>
    <col min="3589" max="3589" width="12.42578125" style="137" hidden="1"/>
    <col min="3590" max="3590" width="7.5703125" style="137" hidden="1"/>
    <col min="3591" max="3591" width="12.28515625" style="137" hidden="1"/>
    <col min="3592" max="3592" width="4.28515625" style="137" hidden="1"/>
    <col min="3593" max="3593" width="7.28515625" style="137" hidden="1"/>
    <col min="3594" max="3840" width="9.140625" style="137" hidden="1"/>
    <col min="3841" max="3841" width="4.140625" style="137" hidden="1"/>
    <col min="3842" max="3842" width="20.7109375" style="137" hidden="1"/>
    <col min="3843" max="3843" width="19.140625" style="137" hidden="1"/>
    <col min="3844" max="3844" width="4.140625" style="137" hidden="1"/>
    <col min="3845" max="3845" width="12.42578125" style="137" hidden="1"/>
    <col min="3846" max="3846" width="7.5703125" style="137" hidden="1"/>
    <col min="3847" max="3847" width="12.28515625" style="137" hidden="1"/>
    <col min="3848" max="3848" width="4.28515625" style="137" hidden="1"/>
    <col min="3849" max="3849" width="7.28515625" style="137" hidden="1"/>
    <col min="3850" max="4096" width="9.140625" style="137" hidden="1"/>
    <col min="4097" max="4097" width="4.140625" style="137" hidden="1"/>
    <col min="4098" max="4098" width="20.7109375" style="137" hidden="1"/>
    <col min="4099" max="4099" width="19.140625" style="137" hidden="1"/>
    <col min="4100" max="4100" width="4.140625" style="137" hidden="1"/>
    <col min="4101" max="4101" width="12.42578125" style="137" hidden="1"/>
    <col min="4102" max="4102" width="7.5703125" style="137" hidden="1"/>
    <col min="4103" max="4103" width="12.28515625" style="137" hidden="1"/>
    <col min="4104" max="4104" width="4.28515625" style="137" hidden="1"/>
    <col min="4105" max="4105" width="7.28515625" style="137" hidden="1"/>
    <col min="4106" max="4352" width="9.140625" style="137" hidden="1"/>
    <col min="4353" max="4353" width="4.140625" style="137" hidden="1"/>
    <col min="4354" max="4354" width="20.7109375" style="137" hidden="1"/>
    <col min="4355" max="4355" width="19.140625" style="137" hidden="1"/>
    <col min="4356" max="4356" width="4.140625" style="137" hidden="1"/>
    <col min="4357" max="4357" width="12.42578125" style="137" hidden="1"/>
    <col min="4358" max="4358" width="7.5703125" style="137" hidden="1"/>
    <col min="4359" max="4359" width="12.28515625" style="137" hidden="1"/>
    <col min="4360" max="4360" width="4.28515625" style="137" hidden="1"/>
    <col min="4361" max="4361" width="7.28515625" style="137" hidden="1"/>
    <col min="4362" max="4608" width="9.140625" style="137" hidden="1"/>
    <col min="4609" max="4609" width="4.140625" style="137" hidden="1"/>
    <col min="4610" max="4610" width="20.7109375" style="137" hidden="1"/>
    <col min="4611" max="4611" width="19.140625" style="137" hidden="1"/>
    <col min="4612" max="4612" width="4.140625" style="137" hidden="1"/>
    <col min="4613" max="4613" width="12.42578125" style="137" hidden="1"/>
    <col min="4614" max="4614" width="7.5703125" style="137" hidden="1"/>
    <col min="4615" max="4615" width="12.28515625" style="137" hidden="1"/>
    <col min="4616" max="4616" width="4.28515625" style="137" hidden="1"/>
    <col min="4617" max="4617" width="7.28515625" style="137" hidden="1"/>
    <col min="4618" max="4864" width="9.140625" style="137" hidden="1"/>
    <col min="4865" max="4865" width="4.140625" style="137" hidden="1"/>
    <col min="4866" max="4866" width="20.7109375" style="137" hidden="1"/>
    <col min="4867" max="4867" width="19.140625" style="137" hidden="1"/>
    <col min="4868" max="4868" width="4.140625" style="137" hidden="1"/>
    <col min="4869" max="4869" width="12.42578125" style="137" hidden="1"/>
    <col min="4870" max="4870" width="7.5703125" style="137" hidden="1"/>
    <col min="4871" max="4871" width="12.28515625" style="137" hidden="1"/>
    <col min="4872" max="4872" width="4.28515625" style="137" hidden="1"/>
    <col min="4873" max="4873" width="7.28515625" style="137" hidden="1"/>
    <col min="4874" max="5120" width="9.140625" style="137" hidden="1"/>
    <col min="5121" max="5121" width="4.140625" style="137" hidden="1"/>
    <col min="5122" max="5122" width="20.7109375" style="137" hidden="1"/>
    <col min="5123" max="5123" width="19.140625" style="137" hidden="1"/>
    <col min="5124" max="5124" width="4.140625" style="137" hidden="1"/>
    <col min="5125" max="5125" width="12.42578125" style="137" hidden="1"/>
    <col min="5126" max="5126" width="7.5703125" style="137" hidden="1"/>
    <col min="5127" max="5127" width="12.28515625" style="137" hidden="1"/>
    <col min="5128" max="5128" width="4.28515625" style="137" hidden="1"/>
    <col min="5129" max="5129" width="7.28515625" style="137" hidden="1"/>
    <col min="5130" max="5376" width="9.140625" style="137" hidden="1"/>
    <col min="5377" max="5377" width="4.140625" style="137" hidden="1"/>
    <col min="5378" max="5378" width="20.7109375" style="137" hidden="1"/>
    <col min="5379" max="5379" width="19.140625" style="137" hidden="1"/>
    <col min="5380" max="5380" width="4.140625" style="137" hidden="1"/>
    <col min="5381" max="5381" width="12.42578125" style="137" hidden="1"/>
    <col min="5382" max="5382" width="7.5703125" style="137" hidden="1"/>
    <col min="5383" max="5383" width="12.28515625" style="137" hidden="1"/>
    <col min="5384" max="5384" width="4.28515625" style="137" hidden="1"/>
    <col min="5385" max="5385" width="7.28515625" style="137" hidden="1"/>
    <col min="5386" max="5632" width="9.140625" style="137" hidden="1"/>
    <col min="5633" max="5633" width="4.140625" style="137" hidden="1"/>
    <col min="5634" max="5634" width="20.7109375" style="137" hidden="1"/>
    <col min="5635" max="5635" width="19.140625" style="137" hidden="1"/>
    <col min="5636" max="5636" width="4.140625" style="137" hidden="1"/>
    <col min="5637" max="5637" width="12.42578125" style="137" hidden="1"/>
    <col min="5638" max="5638" width="7.5703125" style="137" hidden="1"/>
    <col min="5639" max="5639" width="12.28515625" style="137" hidden="1"/>
    <col min="5640" max="5640" width="4.28515625" style="137" hidden="1"/>
    <col min="5641" max="5641" width="7.28515625" style="137" hidden="1"/>
    <col min="5642" max="5888" width="9.140625" style="137" hidden="1"/>
    <col min="5889" max="5889" width="4.140625" style="137" hidden="1"/>
    <col min="5890" max="5890" width="20.7109375" style="137" hidden="1"/>
    <col min="5891" max="5891" width="19.140625" style="137" hidden="1"/>
    <col min="5892" max="5892" width="4.140625" style="137" hidden="1"/>
    <col min="5893" max="5893" width="12.42578125" style="137" hidden="1"/>
    <col min="5894" max="5894" width="7.5703125" style="137" hidden="1"/>
    <col min="5895" max="5895" width="12.28515625" style="137" hidden="1"/>
    <col min="5896" max="5896" width="4.28515625" style="137" hidden="1"/>
    <col min="5897" max="5897" width="7.28515625" style="137" hidden="1"/>
    <col min="5898" max="6144" width="9.140625" style="137" hidden="1"/>
    <col min="6145" max="6145" width="4.140625" style="137" hidden="1"/>
    <col min="6146" max="6146" width="20.7109375" style="137" hidden="1"/>
    <col min="6147" max="6147" width="19.140625" style="137" hidden="1"/>
    <col min="6148" max="6148" width="4.140625" style="137" hidden="1"/>
    <col min="6149" max="6149" width="12.42578125" style="137" hidden="1"/>
    <col min="6150" max="6150" width="7.5703125" style="137" hidden="1"/>
    <col min="6151" max="6151" width="12.28515625" style="137" hidden="1"/>
    <col min="6152" max="6152" width="4.28515625" style="137" hidden="1"/>
    <col min="6153" max="6153" width="7.28515625" style="137" hidden="1"/>
    <col min="6154" max="6400" width="9.140625" style="137" hidden="1"/>
    <col min="6401" max="6401" width="4.140625" style="137" hidden="1"/>
    <col min="6402" max="6402" width="20.7109375" style="137" hidden="1"/>
    <col min="6403" max="6403" width="19.140625" style="137" hidden="1"/>
    <col min="6404" max="6404" width="4.140625" style="137" hidden="1"/>
    <col min="6405" max="6405" width="12.42578125" style="137" hidden="1"/>
    <col min="6406" max="6406" width="7.5703125" style="137" hidden="1"/>
    <col min="6407" max="6407" width="12.28515625" style="137" hidden="1"/>
    <col min="6408" max="6408" width="4.28515625" style="137" hidden="1"/>
    <col min="6409" max="6409" width="7.28515625" style="137" hidden="1"/>
    <col min="6410" max="6656" width="9.140625" style="137" hidden="1"/>
    <col min="6657" max="6657" width="4.140625" style="137" hidden="1"/>
    <col min="6658" max="6658" width="20.7109375" style="137" hidden="1"/>
    <col min="6659" max="6659" width="19.140625" style="137" hidden="1"/>
    <col min="6660" max="6660" width="4.140625" style="137" hidden="1"/>
    <col min="6661" max="6661" width="12.42578125" style="137" hidden="1"/>
    <col min="6662" max="6662" width="7.5703125" style="137" hidden="1"/>
    <col min="6663" max="6663" width="12.28515625" style="137" hidden="1"/>
    <col min="6664" max="6664" width="4.28515625" style="137" hidden="1"/>
    <col min="6665" max="6665" width="7.28515625" style="137" hidden="1"/>
    <col min="6666" max="6912" width="9.140625" style="137" hidden="1"/>
    <col min="6913" max="6913" width="4.140625" style="137" hidden="1"/>
    <col min="6914" max="6914" width="20.7109375" style="137" hidden="1"/>
    <col min="6915" max="6915" width="19.140625" style="137" hidden="1"/>
    <col min="6916" max="6916" width="4.140625" style="137" hidden="1"/>
    <col min="6917" max="6917" width="12.42578125" style="137" hidden="1"/>
    <col min="6918" max="6918" width="7.5703125" style="137" hidden="1"/>
    <col min="6919" max="6919" width="12.28515625" style="137" hidden="1"/>
    <col min="6920" max="6920" width="4.28515625" style="137" hidden="1"/>
    <col min="6921" max="6921" width="7.28515625" style="137" hidden="1"/>
    <col min="6922" max="7168" width="9.140625" style="137" hidden="1"/>
    <col min="7169" max="7169" width="4.140625" style="137" hidden="1"/>
    <col min="7170" max="7170" width="20.7109375" style="137" hidden="1"/>
    <col min="7171" max="7171" width="19.140625" style="137" hidden="1"/>
    <col min="7172" max="7172" width="4.140625" style="137" hidden="1"/>
    <col min="7173" max="7173" width="12.42578125" style="137" hidden="1"/>
    <col min="7174" max="7174" width="7.5703125" style="137" hidden="1"/>
    <col min="7175" max="7175" width="12.28515625" style="137" hidden="1"/>
    <col min="7176" max="7176" width="4.28515625" style="137" hidden="1"/>
    <col min="7177" max="7177" width="7.28515625" style="137" hidden="1"/>
    <col min="7178" max="7424" width="9.140625" style="137" hidden="1"/>
    <col min="7425" max="7425" width="4.140625" style="137" hidden="1"/>
    <col min="7426" max="7426" width="20.7109375" style="137" hidden="1"/>
    <col min="7427" max="7427" width="19.140625" style="137" hidden="1"/>
    <col min="7428" max="7428" width="4.140625" style="137" hidden="1"/>
    <col min="7429" max="7429" width="12.42578125" style="137" hidden="1"/>
    <col min="7430" max="7430" width="7.5703125" style="137" hidden="1"/>
    <col min="7431" max="7431" width="12.28515625" style="137" hidden="1"/>
    <col min="7432" max="7432" width="4.28515625" style="137" hidden="1"/>
    <col min="7433" max="7433" width="7.28515625" style="137" hidden="1"/>
    <col min="7434" max="7680" width="9.140625" style="137" hidden="1"/>
    <col min="7681" max="7681" width="4.140625" style="137" hidden="1"/>
    <col min="7682" max="7682" width="20.7109375" style="137" hidden="1"/>
    <col min="7683" max="7683" width="19.140625" style="137" hidden="1"/>
    <col min="7684" max="7684" width="4.140625" style="137" hidden="1"/>
    <col min="7685" max="7685" width="12.42578125" style="137" hidden="1"/>
    <col min="7686" max="7686" width="7.5703125" style="137" hidden="1"/>
    <col min="7687" max="7687" width="12.28515625" style="137" hidden="1"/>
    <col min="7688" max="7688" width="4.28515625" style="137" hidden="1"/>
    <col min="7689" max="7689" width="7.28515625" style="137" hidden="1"/>
    <col min="7690" max="7936" width="9.140625" style="137" hidden="1"/>
    <col min="7937" max="7937" width="4.140625" style="137" hidden="1"/>
    <col min="7938" max="7938" width="20.7109375" style="137" hidden="1"/>
    <col min="7939" max="7939" width="19.140625" style="137" hidden="1"/>
    <col min="7940" max="7940" width="4.140625" style="137" hidden="1"/>
    <col min="7941" max="7941" width="12.42578125" style="137" hidden="1"/>
    <col min="7942" max="7942" width="7.5703125" style="137" hidden="1"/>
    <col min="7943" max="7943" width="12.28515625" style="137" hidden="1"/>
    <col min="7944" max="7944" width="4.28515625" style="137" hidden="1"/>
    <col min="7945" max="7945" width="7.28515625" style="137" hidden="1"/>
    <col min="7946" max="8192" width="9.140625" style="137" hidden="1"/>
    <col min="8193" max="8193" width="4.140625" style="137" hidden="1"/>
    <col min="8194" max="8194" width="20.7109375" style="137" hidden="1"/>
    <col min="8195" max="8195" width="19.140625" style="137" hidden="1"/>
    <col min="8196" max="8196" width="4.140625" style="137" hidden="1"/>
    <col min="8197" max="8197" width="12.42578125" style="137" hidden="1"/>
    <col min="8198" max="8198" width="7.5703125" style="137" hidden="1"/>
    <col min="8199" max="8199" width="12.28515625" style="137" hidden="1"/>
    <col min="8200" max="8200" width="4.28515625" style="137" hidden="1"/>
    <col min="8201" max="8201" width="7.28515625" style="137" hidden="1"/>
    <col min="8202" max="8448" width="9.140625" style="137" hidden="1"/>
    <col min="8449" max="8449" width="4.140625" style="137" hidden="1"/>
    <col min="8450" max="8450" width="20.7109375" style="137" hidden="1"/>
    <col min="8451" max="8451" width="19.140625" style="137" hidden="1"/>
    <col min="8452" max="8452" width="4.140625" style="137" hidden="1"/>
    <col min="8453" max="8453" width="12.42578125" style="137" hidden="1"/>
    <col min="8454" max="8454" width="7.5703125" style="137" hidden="1"/>
    <col min="8455" max="8455" width="12.28515625" style="137" hidden="1"/>
    <col min="8456" max="8456" width="4.28515625" style="137" hidden="1"/>
    <col min="8457" max="8457" width="7.28515625" style="137" hidden="1"/>
    <col min="8458" max="8704" width="9.140625" style="137" hidden="1"/>
    <col min="8705" max="8705" width="4.140625" style="137" hidden="1"/>
    <col min="8706" max="8706" width="20.7109375" style="137" hidden="1"/>
    <col min="8707" max="8707" width="19.140625" style="137" hidden="1"/>
    <col min="8708" max="8708" width="4.140625" style="137" hidden="1"/>
    <col min="8709" max="8709" width="12.42578125" style="137" hidden="1"/>
    <col min="8710" max="8710" width="7.5703125" style="137" hidden="1"/>
    <col min="8711" max="8711" width="12.28515625" style="137" hidden="1"/>
    <col min="8712" max="8712" width="4.28515625" style="137" hidden="1"/>
    <col min="8713" max="8713" width="7.28515625" style="137" hidden="1"/>
    <col min="8714" max="8960" width="9.140625" style="137" hidden="1"/>
    <col min="8961" max="8961" width="4.140625" style="137" hidden="1"/>
    <col min="8962" max="8962" width="20.7109375" style="137" hidden="1"/>
    <col min="8963" max="8963" width="19.140625" style="137" hidden="1"/>
    <col min="8964" max="8964" width="4.140625" style="137" hidden="1"/>
    <col min="8965" max="8965" width="12.42578125" style="137" hidden="1"/>
    <col min="8966" max="8966" width="7.5703125" style="137" hidden="1"/>
    <col min="8967" max="8967" width="12.28515625" style="137" hidden="1"/>
    <col min="8968" max="8968" width="4.28515625" style="137" hidden="1"/>
    <col min="8969" max="8969" width="7.28515625" style="137" hidden="1"/>
    <col min="8970" max="9216" width="9.140625" style="137" hidden="1"/>
    <col min="9217" max="9217" width="4.140625" style="137" hidden="1"/>
    <col min="9218" max="9218" width="20.7109375" style="137" hidden="1"/>
    <col min="9219" max="9219" width="19.140625" style="137" hidden="1"/>
    <col min="9220" max="9220" width="4.140625" style="137" hidden="1"/>
    <col min="9221" max="9221" width="12.42578125" style="137" hidden="1"/>
    <col min="9222" max="9222" width="7.5703125" style="137" hidden="1"/>
    <col min="9223" max="9223" width="12.28515625" style="137" hidden="1"/>
    <col min="9224" max="9224" width="4.28515625" style="137" hidden="1"/>
    <col min="9225" max="9225" width="7.28515625" style="137" hidden="1"/>
    <col min="9226" max="9472" width="9.140625" style="137" hidden="1"/>
    <col min="9473" max="9473" width="4.140625" style="137" hidden="1"/>
    <col min="9474" max="9474" width="20.7109375" style="137" hidden="1"/>
    <col min="9475" max="9475" width="19.140625" style="137" hidden="1"/>
    <col min="9476" max="9476" width="4.140625" style="137" hidden="1"/>
    <col min="9477" max="9477" width="12.42578125" style="137" hidden="1"/>
    <col min="9478" max="9478" width="7.5703125" style="137" hidden="1"/>
    <col min="9479" max="9479" width="12.28515625" style="137" hidden="1"/>
    <col min="9480" max="9480" width="4.28515625" style="137" hidden="1"/>
    <col min="9481" max="9481" width="7.28515625" style="137" hidden="1"/>
    <col min="9482" max="9728" width="9.140625" style="137" hidden="1"/>
    <col min="9729" max="9729" width="4.140625" style="137" hidden="1"/>
    <col min="9730" max="9730" width="20.7109375" style="137" hidden="1"/>
    <col min="9731" max="9731" width="19.140625" style="137" hidden="1"/>
    <col min="9732" max="9732" width="4.140625" style="137" hidden="1"/>
    <col min="9733" max="9733" width="12.42578125" style="137" hidden="1"/>
    <col min="9734" max="9734" width="7.5703125" style="137" hidden="1"/>
    <col min="9735" max="9735" width="12.28515625" style="137" hidden="1"/>
    <col min="9736" max="9736" width="4.28515625" style="137" hidden="1"/>
    <col min="9737" max="9737" width="7.28515625" style="137" hidden="1"/>
    <col min="9738" max="9984" width="9.140625" style="137" hidden="1"/>
    <col min="9985" max="9985" width="4.140625" style="137" hidden="1"/>
    <col min="9986" max="9986" width="20.7109375" style="137" hidden="1"/>
    <col min="9987" max="9987" width="19.140625" style="137" hidden="1"/>
    <col min="9988" max="9988" width="4.140625" style="137" hidden="1"/>
    <col min="9989" max="9989" width="12.42578125" style="137" hidden="1"/>
    <col min="9990" max="9990" width="7.5703125" style="137" hidden="1"/>
    <col min="9991" max="9991" width="12.28515625" style="137" hidden="1"/>
    <col min="9992" max="9992" width="4.28515625" style="137" hidden="1"/>
    <col min="9993" max="9993" width="7.28515625" style="137" hidden="1"/>
    <col min="9994" max="10240" width="9.140625" style="137" hidden="1"/>
    <col min="10241" max="10241" width="4.140625" style="137" hidden="1"/>
    <col min="10242" max="10242" width="20.7109375" style="137" hidden="1"/>
    <col min="10243" max="10243" width="19.140625" style="137" hidden="1"/>
    <col min="10244" max="10244" width="4.140625" style="137" hidden="1"/>
    <col min="10245" max="10245" width="12.42578125" style="137" hidden="1"/>
    <col min="10246" max="10246" width="7.5703125" style="137" hidden="1"/>
    <col min="10247" max="10247" width="12.28515625" style="137" hidden="1"/>
    <col min="10248" max="10248" width="4.28515625" style="137" hidden="1"/>
    <col min="10249" max="10249" width="7.28515625" style="137" hidden="1"/>
    <col min="10250" max="10496" width="9.140625" style="137" hidden="1"/>
    <col min="10497" max="10497" width="4.140625" style="137" hidden="1"/>
    <col min="10498" max="10498" width="20.7109375" style="137" hidden="1"/>
    <col min="10499" max="10499" width="19.140625" style="137" hidden="1"/>
    <col min="10500" max="10500" width="4.140625" style="137" hidden="1"/>
    <col min="10501" max="10501" width="12.42578125" style="137" hidden="1"/>
    <col min="10502" max="10502" width="7.5703125" style="137" hidden="1"/>
    <col min="10503" max="10503" width="12.28515625" style="137" hidden="1"/>
    <col min="10504" max="10504" width="4.28515625" style="137" hidden="1"/>
    <col min="10505" max="10505" width="7.28515625" style="137" hidden="1"/>
    <col min="10506" max="10752" width="9.140625" style="137" hidden="1"/>
    <col min="10753" max="10753" width="4.140625" style="137" hidden="1"/>
    <col min="10754" max="10754" width="20.7109375" style="137" hidden="1"/>
    <col min="10755" max="10755" width="19.140625" style="137" hidden="1"/>
    <col min="10756" max="10756" width="4.140625" style="137" hidden="1"/>
    <col min="10757" max="10757" width="12.42578125" style="137" hidden="1"/>
    <col min="10758" max="10758" width="7.5703125" style="137" hidden="1"/>
    <col min="10759" max="10759" width="12.28515625" style="137" hidden="1"/>
    <col min="10760" max="10760" width="4.28515625" style="137" hidden="1"/>
    <col min="10761" max="10761" width="7.28515625" style="137" hidden="1"/>
    <col min="10762" max="11008" width="9.140625" style="137" hidden="1"/>
    <col min="11009" max="11009" width="4.140625" style="137" hidden="1"/>
    <col min="11010" max="11010" width="20.7109375" style="137" hidden="1"/>
    <col min="11011" max="11011" width="19.140625" style="137" hidden="1"/>
    <col min="11012" max="11012" width="4.140625" style="137" hidden="1"/>
    <col min="11013" max="11013" width="12.42578125" style="137" hidden="1"/>
    <col min="11014" max="11014" width="7.5703125" style="137" hidden="1"/>
    <col min="11015" max="11015" width="12.28515625" style="137" hidden="1"/>
    <col min="11016" max="11016" width="4.28515625" style="137" hidden="1"/>
    <col min="11017" max="11017" width="7.28515625" style="137" hidden="1"/>
    <col min="11018" max="11264" width="9.140625" style="137" hidden="1"/>
    <col min="11265" max="11265" width="4.140625" style="137" hidden="1"/>
    <col min="11266" max="11266" width="20.7109375" style="137" hidden="1"/>
    <col min="11267" max="11267" width="19.140625" style="137" hidden="1"/>
    <col min="11268" max="11268" width="4.140625" style="137" hidden="1"/>
    <col min="11269" max="11269" width="12.42578125" style="137" hidden="1"/>
    <col min="11270" max="11270" width="7.5703125" style="137" hidden="1"/>
    <col min="11271" max="11271" width="12.28515625" style="137" hidden="1"/>
    <col min="11272" max="11272" width="4.28515625" style="137" hidden="1"/>
    <col min="11273" max="11273" width="7.28515625" style="137" hidden="1"/>
    <col min="11274" max="11520" width="9.140625" style="137" hidden="1"/>
    <col min="11521" max="11521" width="4.140625" style="137" hidden="1"/>
    <col min="11522" max="11522" width="20.7109375" style="137" hidden="1"/>
    <col min="11523" max="11523" width="19.140625" style="137" hidden="1"/>
    <col min="11524" max="11524" width="4.140625" style="137" hidden="1"/>
    <col min="11525" max="11525" width="12.42578125" style="137" hidden="1"/>
    <col min="11526" max="11526" width="7.5703125" style="137" hidden="1"/>
    <col min="11527" max="11527" width="12.28515625" style="137" hidden="1"/>
    <col min="11528" max="11528" width="4.28515625" style="137" hidden="1"/>
    <col min="11529" max="11529" width="7.28515625" style="137" hidden="1"/>
    <col min="11530" max="11776" width="9.140625" style="137" hidden="1"/>
    <col min="11777" max="11777" width="4.140625" style="137" hidden="1"/>
    <col min="11778" max="11778" width="20.7109375" style="137" hidden="1"/>
    <col min="11779" max="11779" width="19.140625" style="137" hidden="1"/>
    <col min="11780" max="11780" width="4.140625" style="137" hidden="1"/>
    <col min="11781" max="11781" width="12.42578125" style="137" hidden="1"/>
    <col min="11782" max="11782" width="7.5703125" style="137" hidden="1"/>
    <col min="11783" max="11783" width="12.28515625" style="137" hidden="1"/>
    <col min="11784" max="11784" width="4.28515625" style="137" hidden="1"/>
    <col min="11785" max="11785" width="7.28515625" style="137" hidden="1"/>
    <col min="11786" max="12032" width="9.140625" style="137" hidden="1"/>
    <col min="12033" max="12033" width="4.140625" style="137" hidden="1"/>
    <col min="12034" max="12034" width="20.7109375" style="137" hidden="1"/>
    <col min="12035" max="12035" width="19.140625" style="137" hidden="1"/>
    <col min="12036" max="12036" width="4.140625" style="137" hidden="1"/>
    <col min="12037" max="12037" width="12.42578125" style="137" hidden="1"/>
    <col min="12038" max="12038" width="7.5703125" style="137" hidden="1"/>
    <col min="12039" max="12039" width="12.28515625" style="137" hidden="1"/>
    <col min="12040" max="12040" width="4.28515625" style="137" hidden="1"/>
    <col min="12041" max="12041" width="7.28515625" style="137" hidden="1"/>
    <col min="12042" max="12288" width="9.140625" style="137" hidden="1"/>
    <col min="12289" max="12289" width="4.140625" style="137" hidden="1"/>
    <col min="12290" max="12290" width="20.7109375" style="137" hidden="1"/>
    <col min="12291" max="12291" width="19.140625" style="137" hidden="1"/>
    <col min="12292" max="12292" width="4.140625" style="137" hidden="1"/>
    <col min="12293" max="12293" width="12.42578125" style="137" hidden="1"/>
    <col min="12294" max="12294" width="7.5703125" style="137" hidden="1"/>
    <col min="12295" max="12295" width="12.28515625" style="137" hidden="1"/>
    <col min="12296" max="12296" width="4.28515625" style="137" hidden="1"/>
    <col min="12297" max="12297" width="7.28515625" style="137" hidden="1"/>
    <col min="12298" max="12544" width="9.140625" style="137" hidden="1"/>
    <col min="12545" max="12545" width="4.140625" style="137" hidden="1"/>
    <col min="12546" max="12546" width="20.7109375" style="137" hidden="1"/>
    <col min="12547" max="12547" width="19.140625" style="137" hidden="1"/>
    <col min="12548" max="12548" width="4.140625" style="137" hidden="1"/>
    <col min="12549" max="12549" width="12.42578125" style="137" hidden="1"/>
    <col min="12550" max="12550" width="7.5703125" style="137" hidden="1"/>
    <col min="12551" max="12551" width="12.28515625" style="137" hidden="1"/>
    <col min="12552" max="12552" width="4.28515625" style="137" hidden="1"/>
    <col min="12553" max="12553" width="7.28515625" style="137" hidden="1"/>
    <col min="12554" max="12800" width="9.140625" style="137" hidden="1"/>
    <col min="12801" max="12801" width="4.140625" style="137" hidden="1"/>
    <col min="12802" max="12802" width="20.7109375" style="137" hidden="1"/>
    <col min="12803" max="12803" width="19.140625" style="137" hidden="1"/>
    <col min="12804" max="12804" width="4.140625" style="137" hidden="1"/>
    <col min="12805" max="12805" width="12.42578125" style="137" hidden="1"/>
    <col min="12806" max="12806" width="7.5703125" style="137" hidden="1"/>
    <col min="12807" max="12807" width="12.28515625" style="137" hidden="1"/>
    <col min="12808" max="12808" width="4.28515625" style="137" hidden="1"/>
    <col min="12809" max="12809" width="7.28515625" style="137" hidden="1"/>
    <col min="12810" max="13056" width="9.140625" style="137" hidden="1"/>
    <col min="13057" max="13057" width="4.140625" style="137" hidden="1"/>
    <col min="13058" max="13058" width="20.7109375" style="137" hidden="1"/>
    <col min="13059" max="13059" width="19.140625" style="137" hidden="1"/>
    <col min="13060" max="13060" width="4.140625" style="137" hidden="1"/>
    <col min="13061" max="13061" width="12.42578125" style="137" hidden="1"/>
    <col min="13062" max="13062" width="7.5703125" style="137" hidden="1"/>
    <col min="13063" max="13063" width="12.28515625" style="137" hidden="1"/>
    <col min="13064" max="13064" width="4.28515625" style="137" hidden="1"/>
    <col min="13065" max="13065" width="7.28515625" style="137" hidden="1"/>
    <col min="13066" max="13312" width="9.140625" style="137" hidden="1"/>
    <col min="13313" max="13313" width="4.140625" style="137" hidden="1"/>
    <col min="13314" max="13314" width="20.7109375" style="137" hidden="1"/>
    <col min="13315" max="13315" width="19.140625" style="137" hidden="1"/>
    <col min="13316" max="13316" width="4.140625" style="137" hidden="1"/>
    <col min="13317" max="13317" width="12.42578125" style="137" hidden="1"/>
    <col min="13318" max="13318" width="7.5703125" style="137" hidden="1"/>
    <col min="13319" max="13319" width="12.28515625" style="137" hidden="1"/>
    <col min="13320" max="13320" width="4.28515625" style="137" hidden="1"/>
    <col min="13321" max="13321" width="7.28515625" style="137" hidden="1"/>
    <col min="13322" max="13568" width="9.140625" style="137" hidden="1"/>
    <col min="13569" max="13569" width="4.140625" style="137" hidden="1"/>
    <col min="13570" max="13570" width="20.7109375" style="137" hidden="1"/>
    <col min="13571" max="13571" width="19.140625" style="137" hidden="1"/>
    <col min="13572" max="13572" width="4.140625" style="137" hidden="1"/>
    <col min="13573" max="13573" width="12.42578125" style="137" hidden="1"/>
    <col min="13574" max="13574" width="7.5703125" style="137" hidden="1"/>
    <col min="13575" max="13575" width="12.28515625" style="137" hidden="1"/>
    <col min="13576" max="13576" width="4.28515625" style="137" hidden="1"/>
    <col min="13577" max="13577" width="7.28515625" style="137" hidden="1"/>
    <col min="13578" max="13824" width="9.140625" style="137" hidden="1"/>
    <col min="13825" max="13825" width="4.140625" style="137" hidden="1"/>
    <col min="13826" max="13826" width="20.7109375" style="137" hidden="1"/>
    <col min="13827" max="13827" width="19.140625" style="137" hidden="1"/>
    <col min="13828" max="13828" width="4.140625" style="137" hidden="1"/>
    <col min="13829" max="13829" width="12.42578125" style="137" hidden="1"/>
    <col min="13830" max="13830" width="7.5703125" style="137" hidden="1"/>
    <col min="13831" max="13831" width="12.28515625" style="137" hidden="1"/>
    <col min="13832" max="13832" width="4.28515625" style="137" hidden="1"/>
    <col min="13833" max="13833" width="7.28515625" style="137" hidden="1"/>
    <col min="13834" max="14080" width="9.140625" style="137" hidden="1"/>
    <col min="14081" max="14081" width="4.140625" style="137" hidden="1"/>
    <col min="14082" max="14082" width="20.7109375" style="137" hidden="1"/>
    <col min="14083" max="14083" width="19.140625" style="137" hidden="1"/>
    <col min="14084" max="14084" width="4.140625" style="137" hidden="1"/>
    <col min="14085" max="14085" width="12.42578125" style="137" hidden="1"/>
    <col min="14086" max="14086" width="7.5703125" style="137" hidden="1"/>
    <col min="14087" max="14087" width="12.28515625" style="137" hidden="1"/>
    <col min="14088" max="14088" width="4.28515625" style="137" hidden="1"/>
    <col min="14089" max="14089" width="7.28515625" style="137" hidden="1"/>
    <col min="14090" max="14336" width="9.140625" style="137" hidden="1"/>
    <col min="14337" max="14337" width="4.140625" style="137" hidden="1"/>
    <col min="14338" max="14338" width="20.7109375" style="137" hidden="1"/>
    <col min="14339" max="14339" width="19.140625" style="137" hidden="1"/>
    <col min="14340" max="14340" width="4.140625" style="137" hidden="1"/>
    <col min="14341" max="14341" width="12.42578125" style="137" hidden="1"/>
    <col min="14342" max="14342" width="7.5703125" style="137" hidden="1"/>
    <col min="14343" max="14343" width="12.28515625" style="137" hidden="1"/>
    <col min="14344" max="14344" width="4.28515625" style="137" hidden="1"/>
    <col min="14345" max="14345" width="7.28515625" style="137" hidden="1"/>
    <col min="14346" max="14592" width="9.140625" style="137" hidden="1"/>
    <col min="14593" max="14593" width="4.140625" style="137" hidden="1"/>
    <col min="14594" max="14594" width="20.7109375" style="137" hidden="1"/>
    <col min="14595" max="14595" width="19.140625" style="137" hidden="1"/>
    <col min="14596" max="14596" width="4.140625" style="137" hidden="1"/>
    <col min="14597" max="14597" width="12.42578125" style="137" hidden="1"/>
    <col min="14598" max="14598" width="7.5703125" style="137" hidden="1"/>
    <col min="14599" max="14599" width="12.28515625" style="137" hidden="1"/>
    <col min="14600" max="14600" width="4.28515625" style="137" hidden="1"/>
    <col min="14601" max="14601" width="7.28515625" style="137" hidden="1"/>
    <col min="14602" max="14848" width="9.140625" style="137" hidden="1"/>
    <col min="14849" max="14849" width="4.140625" style="137" hidden="1"/>
    <col min="14850" max="14850" width="20.7109375" style="137" hidden="1"/>
    <col min="14851" max="14851" width="19.140625" style="137" hidden="1"/>
    <col min="14852" max="14852" width="4.140625" style="137" hidden="1"/>
    <col min="14853" max="14853" width="12.42578125" style="137" hidden="1"/>
    <col min="14854" max="14854" width="7.5703125" style="137" hidden="1"/>
    <col min="14855" max="14855" width="12.28515625" style="137" hidden="1"/>
    <col min="14856" max="14856" width="4.28515625" style="137" hidden="1"/>
    <col min="14857" max="14857" width="7.28515625" style="137" hidden="1"/>
    <col min="14858" max="15104" width="9.140625" style="137" hidden="1"/>
    <col min="15105" max="15105" width="4.140625" style="137" hidden="1"/>
    <col min="15106" max="15106" width="20.7109375" style="137" hidden="1"/>
    <col min="15107" max="15107" width="19.140625" style="137" hidden="1"/>
    <col min="15108" max="15108" width="4.140625" style="137" hidden="1"/>
    <col min="15109" max="15109" width="12.42578125" style="137" hidden="1"/>
    <col min="15110" max="15110" width="7.5703125" style="137" hidden="1"/>
    <col min="15111" max="15111" width="12.28515625" style="137" hidden="1"/>
    <col min="15112" max="15112" width="4.28515625" style="137" hidden="1"/>
    <col min="15113" max="15113" width="7.28515625" style="137" hidden="1"/>
    <col min="15114" max="15360" width="9.140625" style="137" hidden="1"/>
    <col min="15361" max="15361" width="4.140625" style="137" hidden="1"/>
    <col min="15362" max="15362" width="20.7109375" style="137" hidden="1"/>
    <col min="15363" max="15363" width="19.140625" style="137" hidden="1"/>
    <col min="15364" max="15364" width="4.140625" style="137" hidden="1"/>
    <col min="15365" max="15365" width="12.42578125" style="137" hidden="1"/>
    <col min="15366" max="15366" width="7.5703125" style="137" hidden="1"/>
    <col min="15367" max="15367" width="12.28515625" style="137" hidden="1"/>
    <col min="15368" max="15368" width="4.28515625" style="137" hidden="1"/>
    <col min="15369" max="15369" width="7.28515625" style="137" hidden="1"/>
    <col min="15370" max="15616" width="9.140625" style="137" hidden="1"/>
    <col min="15617" max="15617" width="4.140625" style="137" hidden="1"/>
    <col min="15618" max="15618" width="20.7109375" style="137" hidden="1"/>
    <col min="15619" max="15619" width="19.140625" style="137" hidden="1"/>
    <col min="15620" max="15620" width="4.140625" style="137" hidden="1"/>
    <col min="15621" max="15621" width="12.42578125" style="137" hidden="1"/>
    <col min="15622" max="15622" width="7.5703125" style="137" hidden="1"/>
    <col min="15623" max="15623" width="12.28515625" style="137" hidden="1"/>
    <col min="15624" max="15624" width="4.28515625" style="137" hidden="1"/>
    <col min="15625" max="15625" width="7.28515625" style="137" hidden="1"/>
    <col min="15626" max="15872" width="9.140625" style="137" hidden="1"/>
    <col min="15873" max="15873" width="4.140625" style="137" hidden="1"/>
    <col min="15874" max="15874" width="20.7109375" style="137" hidden="1"/>
    <col min="15875" max="15875" width="19.140625" style="137" hidden="1"/>
    <col min="15876" max="15876" width="4.140625" style="137" hidden="1"/>
    <col min="15877" max="15877" width="12.42578125" style="137" hidden="1"/>
    <col min="15878" max="15878" width="7.5703125" style="137" hidden="1"/>
    <col min="15879" max="15879" width="12.28515625" style="137" hidden="1"/>
    <col min="15880" max="15880" width="4.28515625" style="137" hidden="1"/>
    <col min="15881" max="15881" width="7.28515625" style="137" hidden="1"/>
    <col min="15882" max="16128" width="9.140625" style="137" hidden="1"/>
    <col min="16129" max="16129" width="4.140625" style="137" hidden="1"/>
    <col min="16130" max="16130" width="20.7109375" style="137" hidden="1"/>
    <col min="16131" max="16131" width="19.140625" style="137" hidden="1"/>
    <col min="16132" max="16132" width="4.140625" style="137" hidden="1"/>
    <col min="16133" max="16133" width="12.42578125" style="137" hidden="1"/>
    <col min="16134" max="16134" width="7.5703125" style="137" hidden="1"/>
    <col min="16135" max="16135" width="12.28515625" style="137" hidden="1"/>
    <col min="16136" max="16136" width="4.28515625" style="137" hidden="1"/>
    <col min="16137" max="16137" width="7.28515625" style="137" hidden="1"/>
    <col min="16138" max="16384" width="9.140625" style="137" hidden="1"/>
  </cols>
  <sheetData>
    <row r="1" spans="1:22" ht="7.5" customHeight="1" x14ac:dyDescent="0.2">
      <c r="A1" s="534"/>
      <c r="B1" s="139"/>
      <c r="C1" s="139"/>
      <c r="D1" s="139"/>
      <c r="E1" s="139"/>
      <c r="F1" s="139"/>
      <c r="G1" s="139"/>
      <c r="H1" s="139"/>
      <c r="I1" s="140"/>
    </row>
    <row r="2" spans="1:22" ht="17.25" customHeight="1" x14ac:dyDescent="0.2">
      <c r="A2" s="141"/>
      <c r="B2" s="196" t="s">
        <v>378</v>
      </c>
      <c r="C2" s="197"/>
      <c r="D2" s="197"/>
      <c r="E2" s="197"/>
      <c r="F2" s="197"/>
      <c r="G2" s="197"/>
      <c r="H2" s="197"/>
      <c r="I2" s="142"/>
      <c r="P2" s="785" t="s">
        <v>223</v>
      </c>
      <c r="Q2" s="785"/>
      <c r="R2" s="785"/>
      <c r="S2" s="785"/>
      <c r="T2" s="785"/>
      <c r="U2" s="785"/>
      <c r="V2" s="785"/>
    </row>
    <row r="3" spans="1:22" s="138" customFormat="1" ht="13.5" customHeight="1" x14ac:dyDescent="0.2">
      <c r="A3" s="141"/>
      <c r="B3" s="198" t="s">
        <v>379</v>
      </c>
      <c r="C3" s="197"/>
      <c r="D3" s="196"/>
      <c r="E3" s="196"/>
      <c r="F3" s="199"/>
      <c r="G3" s="196"/>
      <c r="H3" s="196"/>
      <c r="I3" s="200"/>
      <c r="P3" s="785"/>
      <c r="Q3" s="785"/>
      <c r="R3" s="785"/>
      <c r="S3" s="785"/>
      <c r="T3" s="785"/>
      <c r="U3" s="785"/>
      <c r="V3" s="785"/>
    </row>
    <row r="4" spans="1:22" s="138" customFormat="1" ht="14.25" customHeight="1" x14ac:dyDescent="0.2">
      <c r="A4" s="141"/>
      <c r="B4" s="198" t="s">
        <v>380</v>
      </c>
      <c r="C4" s="197"/>
      <c r="D4" s="197"/>
      <c r="E4" s="197"/>
      <c r="F4" s="197"/>
      <c r="G4" s="197"/>
      <c r="H4" s="197"/>
      <c r="I4" s="200"/>
      <c r="P4" s="785"/>
      <c r="Q4" s="785"/>
      <c r="R4" s="785"/>
      <c r="S4" s="785"/>
      <c r="T4" s="785"/>
      <c r="U4" s="785"/>
      <c r="V4" s="785"/>
    </row>
    <row r="5" spans="1:22" s="144" customFormat="1" ht="73.5" customHeight="1" x14ac:dyDescent="0.2">
      <c r="A5" s="902" t="s">
        <v>381</v>
      </c>
      <c r="B5" s="903"/>
      <c r="C5" s="903"/>
      <c r="D5" s="903"/>
      <c r="E5" s="903"/>
      <c r="F5" s="903"/>
      <c r="G5" s="903"/>
      <c r="H5" s="903"/>
      <c r="I5" s="143"/>
      <c r="P5" s="785"/>
      <c r="Q5" s="785"/>
      <c r="R5" s="785"/>
      <c r="S5" s="785"/>
      <c r="T5" s="785"/>
      <c r="U5" s="785"/>
      <c r="V5" s="785"/>
    </row>
    <row r="6" spans="1:22" s="144" customFormat="1" ht="23.25" customHeight="1" x14ac:dyDescent="0.25">
      <c r="A6" s="145"/>
      <c r="B6" s="201" t="s">
        <v>382</v>
      </c>
      <c r="C6" s="904" t="str">
        <f>IF(E_Name=0," ",E_Name)</f>
        <v xml:space="preserve">  </v>
      </c>
      <c r="D6" s="904"/>
      <c r="E6" s="146" t="s">
        <v>383</v>
      </c>
      <c r="F6" s="146"/>
      <c r="G6" s="146"/>
      <c r="H6" s="146"/>
      <c r="I6" s="143"/>
      <c r="P6"/>
      <c r="Q6"/>
      <c r="R6"/>
      <c r="S6" s="32"/>
      <c r="T6" s="105"/>
      <c r="U6" s="105"/>
      <c r="V6" s="32"/>
    </row>
    <row r="7" spans="1:22" s="144" customFormat="1" ht="256.5" customHeight="1" x14ac:dyDescent="0.25">
      <c r="A7" s="905" t="s">
        <v>384</v>
      </c>
      <c r="B7" s="906"/>
      <c r="C7" s="906"/>
      <c r="D7" s="906"/>
      <c r="E7" s="906"/>
      <c r="F7" s="906"/>
      <c r="G7" s="906"/>
      <c r="H7" s="906"/>
      <c r="I7" s="143"/>
      <c r="P7"/>
      <c r="Q7"/>
      <c r="R7"/>
      <c r="S7" s="537" t="s">
        <v>173</v>
      </c>
      <c r="T7" s="538" t="s">
        <v>174</v>
      </c>
      <c r="U7" s="538" t="s">
        <v>175</v>
      </c>
      <c r="V7" s="101"/>
    </row>
    <row r="8" spans="1:22" s="144" customFormat="1" ht="26.25" customHeight="1" x14ac:dyDescent="0.25">
      <c r="A8" s="907" t="s">
        <v>385</v>
      </c>
      <c r="B8" s="908"/>
      <c r="C8" s="908"/>
      <c r="D8" s="908"/>
      <c r="E8" s="908"/>
      <c r="F8" s="908"/>
      <c r="G8" s="908"/>
      <c r="H8" s="908"/>
      <c r="I8" s="143"/>
      <c r="P8"/>
      <c r="Q8"/>
      <c r="R8"/>
      <c r="S8" s="103"/>
      <c r="T8" s="104"/>
      <c r="U8" s="104"/>
      <c r="V8" s="104"/>
    </row>
    <row r="9" spans="1:22" s="144" customFormat="1" ht="47.25" customHeight="1" x14ac:dyDescent="0.25">
      <c r="A9" s="909" t="s">
        <v>386</v>
      </c>
      <c r="B9" s="910"/>
      <c r="C9" s="184" t="s">
        <v>387</v>
      </c>
      <c r="D9" s="911" t="s">
        <v>388</v>
      </c>
      <c r="E9" s="912"/>
      <c r="F9" s="911" t="s">
        <v>389</v>
      </c>
      <c r="G9" s="913"/>
      <c r="H9" s="913"/>
      <c r="I9" s="912"/>
      <c r="P9" s="29"/>
      <c r="Q9" s="5"/>
      <c r="R9" s="5"/>
      <c r="S9" s="103" t="str">
        <f>B29</f>
        <v>Village:</v>
      </c>
      <c r="T9" s="104" t="str">
        <f>IF(C29="","Check","Validated")</f>
        <v>Check</v>
      </c>
      <c r="U9" s="104" t="s">
        <v>2</v>
      </c>
      <c r="V9" s="104"/>
    </row>
    <row r="10" spans="1:22" s="144" customFormat="1" ht="20.100000000000001" customHeight="1" x14ac:dyDescent="0.25">
      <c r="A10" s="183">
        <v>1</v>
      </c>
      <c r="B10" s="181" t="str">
        <f>IF('Personal Information'!$B$128=0,"",'Personal Information'!$B$128)</f>
        <v/>
      </c>
      <c r="C10" s="182" t="str">
        <f>IF($B10="","",VLOOKUP($B10,'Personal Information'!$B$106:$F$111,3,0))</f>
        <v/>
      </c>
      <c r="D10" s="914" t="str">
        <f ca="1">IF($B10="","",INT((TODAY()-VLOOKUP($B10,'Personal Information'!$B$106:$F$111,5,0))/365.25))</f>
        <v/>
      </c>
      <c r="E10" s="915" t="e">
        <f>IF(#REF!="","",VLOOKUP($A10,'Personal Information'!$B$106:$F$111,5,0))</f>
        <v>#REF!</v>
      </c>
      <c r="F10" s="916" t="str">
        <f>IF($B10="","",VLOOKUP($B10,'Personal Information'!$B$128:$H$133,7,0)*100)</f>
        <v/>
      </c>
      <c r="G10" s="917"/>
      <c r="H10" s="917"/>
      <c r="I10" s="918"/>
      <c r="P10"/>
      <c r="Q10"/>
      <c r="R10"/>
      <c r="S10" s="103" t="str">
        <f>B31</f>
        <v>Sub-division :</v>
      </c>
      <c r="T10" s="104"/>
      <c r="U10" s="104"/>
      <c r="V10" s="104"/>
    </row>
    <row r="11" spans="1:22" s="144" customFormat="1" ht="20.100000000000001" customHeight="1" x14ac:dyDescent="0.25">
      <c r="A11" s="183">
        <v>2</v>
      </c>
      <c r="B11" s="181" t="str">
        <f>IF('Personal Information'!$B$129=0,"",'Personal Information'!$B$129)</f>
        <v/>
      </c>
      <c r="C11" s="182" t="str">
        <f>IF($B11="","",VLOOKUP($B11,'Personal Information'!$B$106:$F$111,3,0))</f>
        <v/>
      </c>
      <c r="D11" s="914" t="str">
        <f ca="1">IF($B11="","",INT((TODAY()-VLOOKUP($B11,'Personal Information'!$B$106:$F$111,5,0))/365.25))</f>
        <v/>
      </c>
      <c r="E11" s="915" t="e">
        <f>IF(#REF!="","",VLOOKUP($A11,'Personal Information'!$B$106:$F$111,5,0))</f>
        <v>#REF!</v>
      </c>
      <c r="F11" s="916" t="str">
        <f>IF($B11="","",VLOOKUP($B11,'Personal Information'!$B$128:$H$133,7,0)*100)</f>
        <v/>
      </c>
      <c r="G11" s="917"/>
      <c r="H11" s="917"/>
      <c r="I11" s="918"/>
      <c r="P11" s="5"/>
      <c r="Q11"/>
      <c r="R11"/>
      <c r="S11" s="103" t="str">
        <f>B33</f>
        <v>District:</v>
      </c>
      <c r="T11" s="104" t="str">
        <f>IF(C33="","Check","Validated")</f>
        <v>Check</v>
      </c>
      <c r="U11" s="104" t="s">
        <v>2</v>
      </c>
      <c r="V11" s="104"/>
    </row>
    <row r="12" spans="1:22" s="144" customFormat="1" ht="20.100000000000001" customHeight="1" x14ac:dyDescent="0.25">
      <c r="A12" s="183">
        <v>3</v>
      </c>
      <c r="B12" s="181" t="str">
        <f>IF('Personal Information'!$B$130=0,"",'Personal Information'!$B$130)</f>
        <v/>
      </c>
      <c r="C12" s="182" t="str">
        <f>IF($B12="","",VLOOKUP($B12,'Personal Information'!$B$106:$F$111,3,0))</f>
        <v/>
      </c>
      <c r="D12" s="914" t="str">
        <f ca="1">IF($B12="","",INT((TODAY()-VLOOKUP($B12,'Personal Information'!$B$106:$F$111,5,0))/365.25))</f>
        <v/>
      </c>
      <c r="E12" s="915" t="e">
        <f>IF(#REF!="","",VLOOKUP($A12,'Personal Information'!$B$106:$F$111,5,0))</f>
        <v>#REF!</v>
      </c>
      <c r="F12" s="916" t="str">
        <f>IF($B12="","",VLOOKUP($B12,'Personal Information'!$B$128:$H$133,7,0)*100)</f>
        <v/>
      </c>
      <c r="G12" s="917"/>
      <c r="H12" s="917"/>
      <c r="I12" s="918"/>
      <c r="P12"/>
      <c r="Q12"/>
      <c r="R12"/>
      <c r="S12" s="103" t="str">
        <f>E29</f>
        <v>Thana:</v>
      </c>
      <c r="T12" s="104"/>
      <c r="U12" s="104"/>
      <c r="V12" s="104"/>
    </row>
    <row r="13" spans="1:22" s="144" customFormat="1" ht="20.100000000000001" customHeight="1" x14ac:dyDescent="0.2">
      <c r="A13" s="183">
        <v>4</v>
      </c>
      <c r="B13" s="181" t="str">
        <f>IF('Personal Information'!$B$131=0,"",'Personal Information'!$B$131)</f>
        <v/>
      </c>
      <c r="C13" s="182" t="str">
        <f>IF($B13="","",VLOOKUP($B13,'Personal Information'!$B$106:$F$111,3,0))</f>
        <v/>
      </c>
      <c r="D13" s="914" t="str">
        <f ca="1">IF($B13="","",INT((TODAY()-VLOOKUP($B13,'Personal Information'!$B$106:$F$111,5,0))/365.25))</f>
        <v/>
      </c>
      <c r="E13" s="915" t="e">
        <f>IF(#REF!="","",VLOOKUP($A13,'Personal Information'!$B$106:$F$111,5,0))</f>
        <v>#REF!</v>
      </c>
      <c r="F13" s="916" t="str">
        <f>IF($B13="","",VLOOKUP($B13,'Personal Information'!$B$128:$H$133,7,0)*100)</f>
        <v/>
      </c>
      <c r="G13" s="917"/>
      <c r="H13" s="917"/>
      <c r="I13" s="918"/>
      <c r="P13" s="5"/>
      <c r="Q13" s="5"/>
      <c r="R13" s="5"/>
      <c r="S13" s="103" t="str">
        <f>E31</f>
        <v xml:space="preserve">Post office: </v>
      </c>
      <c r="T13" s="104" t="str">
        <f>IF(G31="","Check","Validated")</f>
        <v>Check</v>
      </c>
      <c r="U13" s="104" t="s">
        <v>2</v>
      </c>
      <c r="V13" s="104"/>
    </row>
    <row r="14" spans="1:22" s="322" customFormat="1" ht="20.100000000000001" customHeight="1" x14ac:dyDescent="0.25">
      <c r="A14" s="332">
        <v>5</v>
      </c>
      <c r="B14" s="330" t="str">
        <f>IF('Personal Information'!$B$132=0,"",'Personal Information'!$B$132)</f>
        <v/>
      </c>
      <c r="C14" s="331" t="str">
        <f>IF($B14="","",VLOOKUP($B14,'Personal Information'!$B$106:$F$111,3,0))</f>
        <v/>
      </c>
      <c r="D14" s="914" t="str">
        <f ca="1">IF($B14="","",INT((TODAY()-VLOOKUP($B14,'Personal Information'!$B$106:$F$111,5,0))/365.25))</f>
        <v/>
      </c>
      <c r="E14" s="915" t="e">
        <f>IF(#REF!="","",VLOOKUP($A14,'Personal Information'!$B$106:$F$111,5,0))</f>
        <v>#REF!</v>
      </c>
      <c r="F14" s="916" t="str">
        <f>IF($B14="","",VLOOKUP($B14,'Personal Information'!$B$128:$H$133,7,0)*100)</f>
        <v/>
      </c>
      <c r="G14" s="917"/>
      <c r="H14" s="917"/>
      <c r="I14" s="918"/>
      <c r="P14"/>
      <c r="Q14"/>
      <c r="R14"/>
      <c r="S14" s="103"/>
      <c r="T14" s="104"/>
      <c r="U14" s="104"/>
      <c r="V14" s="104"/>
    </row>
    <row r="15" spans="1:22" s="144" customFormat="1" ht="20.100000000000001" customHeight="1" x14ac:dyDescent="0.25">
      <c r="A15" s="183">
        <v>6</v>
      </c>
      <c r="B15" s="181" t="str">
        <f>IF('Personal Information'!$B$133=0,"",'Personal Information'!$B$133)</f>
        <v/>
      </c>
      <c r="C15" s="182" t="str">
        <f>IF($B15="","",VLOOKUP($B15,'Personal Information'!$B$106:$F$111,3,0))</f>
        <v/>
      </c>
      <c r="D15" s="914" t="str">
        <f ca="1">IF($B15="","",INT((TODAY()-VLOOKUP($B15,'Personal Information'!$B$106:$F$111,5,0))/365.25))</f>
        <v/>
      </c>
      <c r="E15" s="915" t="e">
        <f>IF(#REF!="","",VLOOKUP($A15,'Personal Information'!$B$106:$F$111,5,0))</f>
        <v>#REF!</v>
      </c>
      <c r="F15" s="916" t="str">
        <f>IF($B15="","",VLOOKUP($B15,'Personal Information'!$B$128:$H$133,7,0)*100)</f>
        <v/>
      </c>
      <c r="G15" s="917"/>
      <c r="H15" s="917"/>
      <c r="I15" s="918"/>
      <c r="P15" s="5"/>
      <c r="Q15" s="29"/>
      <c r="R15" s="29"/>
      <c r="S15" s="103"/>
      <c r="T15" s="104"/>
      <c r="U15" s="104"/>
      <c r="V15" s="29"/>
    </row>
    <row r="16" spans="1:22" ht="21" customHeight="1" x14ac:dyDescent="0.25">
      <c r="A16" s="147"/>
      <c r="B16" s="148" t="s">
        <v>390</v>
      </c>
      <c r="C16" s="148"/>
      <c r="D16" s="148"/>
      <c r="E16" s="148"/>
      <c r="F16" s="148"/>
      <c r="G16" s="148"/>
      <c r="H16" s="148"/>
      <c r="I16" s="142"/>
      <c r="P16" s="29"/>
      <c r="Q16" s="29"/>
      <c r="R16" s="29"/>
      <c r="S16" s="103"/>
      <c r="T16" s="104"/>
      <c r="U16" s="104"/>
      <c r="V16" s="29"/>
    </row>
    <row r="17" spans="1:22" ht="9" customHeight="1" x14ac:dyDescent="0.25">
      <c r="A17" s="149"/>
      <c r="B17" s="150"/>
      <c r="C17" s="150"/>
      <c r="D17" s="150"/>
      <c r="E17" s="150"/>
      <c r="F17" s="150"/>
      <c r="G17" s="150"/>
      <c r="H17" s="150"/>
      <c r="I17" s="151"/>
      <c r="P17" s="405"/>
      <c r="Q17" s="405"/>
      <c r="R17" s="405"/>
      <c r="S17" s="103"/>
      <c r="T17" s="104"/>
      <c r="U17" s="104"/>
      <c r="V17" s="405"/>
    </row>
    <row r="18" spans="1:22" s="138" customFormat="1" ht="26.25" customHeight="1" x14ac:dyDescent="0.25">
      <c r="A18" s="152"/>
      <c r="B18" s="152"/>
      <c r="C18" s="153" t="s">
        <v>391</v>
      </c>
      <c r="D18" s="153"/>
      <c r="E18" s="153"/>
      <c r="F18" s="152"/>
      <c r="G18" s="152"/>
      <c r="H18" s="152"/>
      <c r="I18" s="152"/>
      <c r="P18" s="405"/>
      <c r="Q18" s="405"/>
      <c r="R18" s="405"/>
      <c r="S18" s="103"/>
      <c r="T18" s="104"/>
      <c r="U18" s="104"/>
      <c r="V18" s="405"/>
    </row>
    <row r="19" spans="1:22" ht="18" customHeight="1" x14ac:dyDescent="0.25">
      <c r="A19" s="154">
        <v>1</v>
      </c>
      <c r="B19" s="155" t="s">
        <v>392</v>
      </c>
      <c r="C19" s="156"/>
      <c r="D19" s="171"/>
      <c r="E19" s="328" t="str">
        <f>UPPER(C6)</f>
        <v xml:space="preserve">  </v>
      </c>
      <c r="F19" s="328"/>
      <c r="G19" s="328"/>
      <c r="H19" s="328"/>
      <c r="I19" s="512"/>
      <c r="P19" s="405"/>
      <c r="Q19" s="405"/>
      <c r="R19" s="405"/>
      <c r="S19" s="103"/>
      <c r="T19" s="104"/>
      <c r="U19" s="104"/>
      <c r="V19" s="405"/>
    </row>
    <row r="20" spans="1:22" ht="18" customHeight="1" x14ac:dyDescent="0.25">
      <c r="A20" s="154">
        <v>2</v>
      </c>
      <c r="B20" s="155" t="s">
        <v>334</v>
      </c>
      <c r="C20" s="157"/>
      <c r="D20" s="171"/>
      <c r="E20" s="328" t="str">
        <f>IF(Sex="","",Sex)</f>
        <v/>
      </c>
      <c r="F20" s="328"/>
      <c r="G20" s="328"/>
      <c r="H20" s="328"/>
      <c r="I20" s="512"/>
      <c r="P20" s="405"/>
      <c r="Q20" s="405"/>
      <c r="R20" s="405"/>
      <c r="S20" s="103" t="b">
        <f>T20=U20</f>
        <v>0</v>
      </c>
      <c r="T20" s="105">
        <f>COUNTIF(T9:T19,"Validated")</f>
        <v>0</v>
      </c>
      <c r="U20" s="105">
        <f>COUNTIF(U9:U19,"x")</f>
        <v>3</v>
      </c>
      <c r="V20" s="405"/>
    </row>
    <row r="21" spans="1:22" ht="18" customHeight="1" x14ac:dyDescent="0.2">
      <c r="A21" s="154">
        <v>3</v>
      </c>
      <c r="B21" s="155" t="s">
        <v>393</v>
      </c>
      <c r="C21" s="157"/>
      <c r="D21" s="171"/>
      <c r="E21" s="328" t="str">
        <f>IF('Personal Information'!D31="","",'Personal Information'!D31)</f>
        <v/>
      </c>
      <c r="F21" s="328"/>
      <c r="G21" s="328"/>
      <c r="H21" s="328"/>
      <c r="I21" s="512"/>
    </row>
    <row r="22" spans="1:22" ht="18" customHeight="1" x14ac:dyDescent="0.2">
      <c r="A22" s="154">
        <v>4</v>
      </c>
      <c r="B22" s="155" t="s">
        <v>394</v>
      </c>
      <c r="C22" s="157"/>
      <c r="D22" s="171"/>
      <c r="E22" s="328" t="str">
        <f>IF(M_Status="","",M_Status)</f>
        <v/>
      </c>
      <c r="F22" s="328"/>
      <c r="G22" s="328"/>
      <c r="H22" s="328"/>
      <c r="I22" s="512"/>
    </row>
    <row r="23" spans="1:22" ht="18" customHeight="1" x14ac:dyDescent="0.2">
      <c r="A23" s="158">
        <v>5</v>
      </c>
      <c r="B23" s="155" t="s">
        <v>395</v>
      </c>
      <c r="C23" s="157"/>
      <c r="D23" s="171"/>
      <c r="E23" s="328" t="str">
        <f>IF('Admin Form'!$D$14="","",'Admin Form'!$D$14)</f>
        <v/>
      </c>
      <c r="F23" s="328"/>
      <c r="G23" s="328"/>
      <c r="H23" s="328"/>
      <c r="I23" s="512"/>
    </row>
    <row r="24" spans="1:22" ht="18" customHeight="1" x14ac:dyDescent="0.2">
      <c r="A24" s="154">
        <v>6</v>
      </c>
      <c r="B24" s="155" t="s">
        <v>396</v>
      </c>
      <c r="C24" s="157"/>
      <c r="D24" s="171"/>
      <c r="E24" s="513" t="str">
        <f>IF(Empl_No=0," ",Empl_No)</f>
        <v>NA</v>
      </c>
      <c r="F24" s="328"/>
      <c r="G24" s="328"/>
      <c r="H24" s="328"/>
      <c r="I24" s="512"/>
    </row>
    <row r="25" spans="1:22" ht="18" customHeight="1" x14ac:dyDescent="0.2">
      <c r="A25" s="154">
        <v>7</v>
      </c>
      <c r="B25" s="155" t="s">
        <v>397</v>
      </c>
      <c r="C25" s="157"/>
      <c r="D25" s="171"/>
      <c r="E25" s="514" t="str">
        <f>IF(DOJ=0,"",DOJ)</f>
        <v/>
      </c>
      <c r="F25" s="328"/>
      <c r="G25" s="328"/>
      <c r="H25" s="328"/>
      <c r="I25" s="512"/>
    </row>
    <row r="26" spans="1:22" s="159" customFormat="1" ht="19.5" customHeight="1" x14ac:dyDescent="0.2">
      <c r="A26" s="185">
        <v>8</v>
      </c>
      <c r="B26" s="923" t="s">
        <v>13</v>
      </c>
      <c r="C26" s="924"/>
      <c r="D26" s="190"/>
      <c r="E26" s="934" t="str">
        <f>IF(('Personal Information'!$H$43&amp;'Personal Information'!$H$44&amp;'Personal Information'!$H$45)=0,"",'Personal Information'!$H$43&amp;" "&amp;'Personal Information'!$H$44)</f>
        <v xml:space="preserve"> </v>
      </c>
      <c r="F26" s="934" t="str">
        <f>IF(('Personal Information'!$H$43&amp;'Personal Information'!$H$44&amp;'Personal Information'!$H$45)=0,"",'Personal Information'!$H$43&amp;" "&amp;'Personal Information'!$H$44)</f>
        <v xml:space="preserve"> </v>
      </c>
      <c r="G26" s="934" t="str">
        <f>IF(('Personal Information'!$H$43&amp;'Personal Information'!$H$44&amp;'Personal Information'!$H$45)=0,"",'Personal Information'!$H$43&amp;" "&amp;'Personal Information'!$H$44)</f>
        <v xml:space="preserve"> </v>
      </c>
      <c r="H26" s="934" t="str">
        <f>IF(('Personal Information'!$H$43&amp;'Personal Information'!$H$44&amp;'Personal Information'!$H$45)=0,"",'Personal Information'!$H$43&amp;" "&amp;'Personal Information'!$H$44)</f>
        <v xml:space="preserve"> </v>
      </c>
      <c r="I26" s="935" t="str">
        <f>IF(('Personal Information'!$H$43&amp;'Personal Information'!$H$44&amp;'Personal Information'!$H$45)=0,"",'Personal Information'!$H$43&amp;" "&amp;'Personal Information'!$H$44)</f>
        <v xml:space="preserve"> </v>
      </c>
      <c r="J26" s="195"/>
    </row>
    <row r="27" spans="1:22" s="159" customFormat="1" ht="19.5" customHeight="1" x14ac:dyDescent="0.2">
      <c r="A27" s="193"/>
      <c r="B27" s="925"/>
      <c r="C27" s="926"/>
      <c r="D27" s="194"/>
      <c r="E27" s="932" t="str">
        <f>IF('Personal Information'!$H$45=0,"",'Personal Information'!$H$45)</f>
        <v/>
      </c>
      <c r="F27" s="932" t="str">
        <f>IF('Personal Information'!$H$45=0,"",'Personal Information'!$H$45)</f>
        <v/>
      </c>
      <c r="G27" s="932" t="str">
        <f>IF('Personal Information'!$H$45=0,"",'Personal Information'!$H$45)</f>
        <v/>
      </c>
      <c r="H27" s="932" t="str">
        <f>IF('Personal Information'!$H$45=0,"",'Personal Information'!$H$45)</f>
        <v/>
      </c>
      <c r="I27" s="933" t="str">
        <f>IF('Personal Information'!$H$45=0,"",'Personal Information'!$H$45)</f>
        <v/>
      </c>
      <c r="J27" s="195"/>
    </row>
    <row r="28" spans="1:22" s="159" customFormat="1" ht="19.5" customHeight="1" x14ac:dyDescent="0.2">
      <c r="A28" s="192"/>
      <c r="B28" s="927"/>
      <c r="C28" s="928"/>
      <c r="D28" s="191"/>
      <c r="E28" s="929" t="str">
        <f>IF('Personal Information'!$H$46=0,"",'Personal Information'!$H$46&amp;" - "&amp;'Personal Information'!$H$48&amp;", "&amp;'Personal Information'!$H$47)</f>
        <v/>
      </c>
      <c r="F28" s="929" t="str">
        <f>IF('Personal Information'!$H$46=0,"",'Personal Information'!$H$46&amp;" - "&amp;'Personal Information'!$H$48)</f>
        <v/>
      </c>
      <c r="G28" s="929" t="str">
        <f>IF('Personal Information'!$H$46=0,"",'Personal Information'!$H$46&amp;" - "&amp;'Personal Information'!$H$48)</f>
        <v/>
      </c>
      <c r="H28" s="929" t="str">
        <f>IF('Personal Information'!$H$46=0,"",'Personal Information'!$H$46&amp;" - "&amp;'Personal Information'!$H$48)</f>
        <v/>
      </c>
      <c r="I28" s="930" t="str">
        <f>IF('Personal Information'!$H$46=0,"",'Personal Information'!$H$46&amp;" - "&amp;'Personal Information'!$H$48)</f>
        <v/>
      </c>
      <c r="J28" s="195"/>
    </row>
    <row r="29" spans="1:22" ht="18" customHeight="1" x14ac:dyDescent="0.2">
      <c r="A29" s="160"/>
      <c r="B29" s="186" t="s">
        <v>398</v>
      </c>
      <c r="C29" s="187"/>
      <c r="D29" s="162"/>
      <c r="E29" s="188" t="s">
        <v>399</v>
      </c>
      <c r="F29" s="189"/>
      <c r="G29" s="189"/>
      <c r="H29" s="187"/>
      <c r="I29" s="142"/>
    </row>
    <row r="30" spans="1:22" ht="8.1" customHeight="1" x14ac:dyDescent="0.2">
      <c r="A30" s="147"/>
      <c r="B30" s="161"/>
      <c r="C30" s="148"/>
      <c r="D30" s="162"/>
      <c r="E30" s="162"/>
      <c r="F30" s="174"/>
      <c r="G30" s="174"/>
      <c r="H30" s="174"/>
      <c r="I30" s="142"/>
    </row>
    <row r="31" spans="1:22" ht="18" customHeight="1" x14ac:dyDescent="0.2">
      <c r="A31" s="160"/>
      <c r="B31" s="161" t="s">
        <v>400</v>
      </c>
      <c r="C31" s="173"/>
      <c r="D31" s="162"/>
      <c r="E31" s="155" t="s">
        <v>401</v>
      </c>
      <c r="F31" s="172"/>
      <c r="G31" s="172"/>
      <c r="H31" s="173"/>
      <c r="I31" s="142"/>
    </row>
    <row r="32" spans="1:22" ht="8.1" customHeight="1" x14ac:dyDescent="0.2">
      <c r="A32" s="147"/>
      <c r="B32" s="157"/>
      <c r="C32" s="148"/>
      <c r="D32" s="148"/>
      <c r="E32" s="148"/>
      <c r="F32" s="174"/>
      <c r="G32" s="174"/>
      <c r="H32" s="174"/>
      <c r="I32" s="142"/>
    </row>
    <row r="33" spans="1:9" ht="18" customHeight="1" x14ac:dyDescent="0.2">
      <c r="A33" s="160"/>
      <c r="B33" s="155" t="s">
        <v>402</v>
      </c>
      <c r="C33" s="173"/>
      <c r="D33" s="162"/>
      <c r="E33" s="155" t="s">
        <v>311</v>
      </c>
      <c r="F33" s="172"/>
      <c r="G33" s="328" t="str">
        <f>IF('Personal Information'!$H$47=0,"",'Personal Information'!$H$47)</f>
        <v/>
      </c>
      <c r="H33" s="173"/>
      <c r="I33" s="142"/>
    </row>
    <row r="34" spans="1:9" ht="6" customHeight="1" x14ac:dyDescent="0.2">
      <c r="A34" s="149"/>
      <c r="B34" s="150"/>
      <c r="C34" s="150"/>
      <c r="D34" s="150"/>
      <c r="E34" s="150"/>
      <c r="F34" s="150"/>
      <c r="G34" s="150"/>
      <c r="H34" s="150"/>
      <c r="I34" s="151"/>
    </row>
    <row r="35" spans="1:9" ht="18.75" customHeight="1" x14ac:dyDescent="0.2">
      <c r="A35" s="163"/>
      <c r="B35" s="177" t="s">
        <v>403</v>
      </c>
      <c r="C35" s="180" t="str">
        <f>IF('Personal Information'!$D$23=0,"",'Personal Information'!D23)</f>
        <v/>
      </c>
      <c r="D35" s="730"/>
      <c r="E35" s="730"/>
      <c r="F35" s="730"/>
      <c r="G35" s="730"/>
      <c r="H35" s="163"/>
      <c r="I35" s="163"/>
    </row>
    <row r="36" spans="1:9" ht="22.5" customHeight="1" thickBot="1" x14ac:dyDescent="0.25">
      <c r="A36" s="175"/>
      <c r="B36" s="178" t="s">
        <v>404</v>
      </c>
      <c r="C36" s="179" t="str">
        <f>E25</f>
        <v/>
      </c>
      <c r="D36" s="731" t="s">
        <v>405</v>
      </c>
      <c r="E36" s="730"/>
      <c r="F36" s="731"/>
      <c r="G36" s="731"/>
      <c r="H36" s="164"/>
      <c r="I36" s="164"/>
    </row>
    <row r="37" spans="1:9" ht="17.25" customHeight="1" x14ac:dyDescent="0.2">
      <c r="A37" s="163"/>
      <c r="B37" s="919" t="s">
        <v>406</v>
      </c>
      <c r="C37" s="919"/>
      <c r="D37" s="919"/>
      <c r="E37" s="919"/>
      <c r="F37" s="919"/>
      <c r="G37" s="919"/>
      <c r="H37" s="919"/>
      <c r="I37" s="919"/>
    </row>
    <row r="38" spans="1:9" ht="13.5" customHeight="1" x14ac:dyDescent="0.2">
      <c r="A38" s="931" t="s">
        <v>407</v>
      </c>
      <c r="B38" s="931"/>
      <c r="C38" s="931"/>
      <c r="D38" s="931"/>
      <c r="E38" s="931"/>
      <c r="F38" s="931"/>
      <c r="G38" s="931"/>
      <c r="H38" s="931"/>
      <c r="I38" s="931"/>
    </row>
    <row r="39" spans="1:9" ht="18" customHeight="1" x14ac:dyDescent="0.2">
      <c r="A39" s="163"/>
      <c r="B39" s="921" t="s">
        <v>408</v>
      </c>
      <c r="C39" s="921"/>
      <c r="D39" s="163"/>
      <c r="E39" s="163" t="s">
        <v>409</v>
      </c>
      <c r="F39" s="163"/>
      <c r="G39" s="163"/>
      <c r="H39" s="163"/>
      <c r="I39" s="163"/>
    </row>
    <row r="40" spans="1:9" ht="17.25" customHeight="1" x14ac:dyDescent="0.2">
      <c r="A40" s="163"/>
      <c r="B40" s="163"/>
      <c r="C40" s="163"/>
      <c r="D40" s="163"/>
      <c r="E40" s="163"/>
      <c r="F40" s="163"/>
      <c r="G40" s="163"/>
      <c r="H40" s="163"/>
      <c r="I40" s="163"/>
    </row>
    <row r="41" spans="1:9" s="169" customFormat="1" ht="49.5" customHeight="1" x14ac:dyDescent="0.25">
      <c r="A41" s="165"/>
      <c r="B41" s="166">
        <v>1</v>
      </c>
      <c r="C41" s="167"/>
      <c r="D41" s="165"/>
      <c r="E41" s="166">
        <v>1</v>
      </c>
      <c r="F41" s="168"/>
      <c r="G41" s="168"/>
      <c r="H41" s="167"/>
      <c r="I41" s="165"/>
    </row>
    <row r="42" spans="1:9" ht="16.5" customHeight="1" x14ac:dyDescent="0.2">
      <c r="A42" s="163"/>
      <c r="B42" s="163"/>
      <c r="C42" s="163"/>
      <c r="D42" s="163"/>
      <c r="E42" s="170"/>
      <c r="F42" s="163"/>
      <c r="G42" s="163"/>
      <c r="H42" s="163"/>
      <c r="I42" s="163"/>
    </row>
    <row r="43" spans="1:9" s="169" customFormat="1" ht="45.75" customHeight="1" x14ac:dyDescent="0.25">
      <c r="A43" s="165"/>
      <c r="B43" s="166">
        <v>2</v>
      </c>
      <c r="C43" s="167"/>
      <c r="D43" s="165"/>
      <c r="E43" s="166">
        <v>2</v>
      </c>
      <c r="F43" s="168"/>
      <c r="G43" s="168"/>
      <c r="H43" s="167"/>
      <c r="I43" s="165"/>
    </row>
    <row r="44" spans="1:9" ht="20.25" customHeight="1" x14ac:dyDescent="0.2">
      <c r="A44" s="163"/>
      <c r="B44" s="177" t="s">
        <v>403</v>
      </c>
      <c r="C44" s="180" t="str">
        <f>IF('Personal Information'!$D$23=0,"",'Personal Information'!D23)</f>
        <v/>
      </c>
      <c r="D44" s="163"/>
      <c r="E44" s="163"/>
      <c r="F44" s="163"/>
      <c r="G44" s="163"/>
      <c r="H44" s="163"/>
      <c r="I44" s="163"/>
    </row>
    <row r="45" spans="1:9" ht="21" customHeight="1" thickBot="1" x14ac:dyDescent="0.25">
      <c r="A45" s="164"/>
      <c r="B45" s="178" t="s">
        <v>404</v>
      </c>
      <c r="C45" s="179" t="str">
        <f>C36</f>
        <v/>
      </c>
      <c r="D45" s="164"/>
      <c r="E45" s="164"/>
      <c r="F45" s="164"/>
      <c r="G45" s="164"/>
      <c r="H45" s="164"/>
      <c r="I45" s="164"/>
    </row>
    <row r="46" spans="1:9" ht="18" customHeight="1" x14ac:dyDescent="0.2">
      <c r="A46" s="163"/>
      <c r="B46" s="919" t="s">
        <v>410</v>
      </c>
      <c r="C46" s="919"/>
      <c r="D46" s="919"/>
      <c r="E46" s="919"/>
      <c r="F46" s="919"/>
      <c r="G46" s="919"/>
      <c r="H46" s="919"/>
      <c r="I46" s="919"/>
    </row>
    <row r="47" spans="1:9" ht="15" customHeight="1" x14ac:dyDescent="0.2">
      <c r="A47" s="163"/>
      <c r="B47" s="163" t="s">
        <v>411</v>
      </c>
      <c r="C47" s="163"/>
      <c r="D47" s="163"/>
      <c r="E47" s="163"/>
      <c r="F47" s="163"/>
      <c r="G47" s="163"/>
      <c r="H47" s="163"/>
      <c r="I47" s="163"/>
    </row>
    <row r="48" spans="1:9" ht="21" customHeight="1" x14ac:dyDescent="0.2">
      <c r="A48" s="163"/>
      <c r="B48" s="163" t="s">
        <v>412</v>
      </c>
      <c r="C48" s="163"/>
      <c r="D48" s="163"/>
      <c r="E48" s="163" t="s">
        <v>413</v>
      </c>
      <c r="F48" s="163"/>
      <c r="G48" s="163"/>
      <c r="H48" s="163"/>
      <c r="I48" s="163"/>
    </row>
    <row r="49" spans="1:9" ht="12.75" customHeight="1" x14ac:dyDescent="0.2">
      <c r="A49" s="163"/>
      <c r="B49" s="163"/>
      <c r="C49" s="163"/>
      <c r="D49" s="163"/>
      <c r="E49" s="163" t="s">
        <v>414</v>
      </c>
      <c r="F49" s="163"/>
      <c r="G49" s="163"/>
      <c r="H49" s="163"/>
      <c r="I49" s="163"/>
    </row>
    <row r="50" spans="1:9" ht="21" customHeight="1" x14ac:dyDescent="0.2">
      <c r="A50" s="163"/>
      <c r="B50" s="163"/>
      <c r="C50" s="163"/>
      <c r="D50" s="163"/>
      <c r="E50" s="163"/>
      <c r="F50" s="163"/>
      <c r="G50" s="163"/>
      <c r="H50" s="163"/>
      <c r="I50" s="163"/>
    </row>
    <row r="51" spans="1:9" ht="21" customHeight="1" x14ac:dyDescent="0.2">
      <c r="A51" s="163"/>
      <c r="B51" s="163"/>
      <c r="C51" s="163"/>
      <c r="D51" s="163"/>
      <c r="E51" s="163" t="s">
        <v>375</v>
      </c>
      <c r="F51" s="163"/>
      <c r="G51" s="163"/>
      <c r="H51" s="163"/>
      <c r="I51" s="163"/>
    </row>
    <row r="52" spans="1:9" ht="28.5" customHeight="1" thickBot="1" x14ac:dyDescent="0.25">
      <c r="A52" s="922" t="s">
        <v>415</v>
      </c>
      <c r="B52" s="922"/>
      <c r="C52" s="922"/>
      <c r="D52" s="164"/>
      <c r="E52" s="164" t="s">
        <v>416</v>
      </c>
      <c r="F52" s="164"/>
      <c r="G52" s="164"/>
      <c r="H52" s="164"/>
      <c r="I52" s="164"/>
    </row>
    <row r="53" spans="1:9" ht="21" customHeight="1" x14ac:dyDescent="0.2">
      <c r="A53" s="163"/>
      <c r="B53" s="919" t="s">
        <v>417</v>
      </c>
      <c r="C53" s="919"/>
      <c r="D53" s="919"/>
      <c r="E53" s="919"/>
      <c r="F53" s="919"/>
      <c r="G53" s="919"/>
      <c r="H53" s="919"/>
      <c r="I53" s="919"/>
    </row>
    <row r="54" spans="1:9" ht="21" customHeight="1" x14ac:dyDescent="0.2">
      <c r="A54" s="163"/>
      <c r="B54" s="163" t="s">
        <v>418</v>
      </c>
      <c r="C54" s="163"/>
      <c r="D54" s="163"/>
      <c r="E54" s="163"/>
      <c r="F54" s="163"/>
      <c r="G54" s="163"/>
      <c r="H54" s="163"/>
      <c r="I54" s="163"/>
    </row>
    <row r="55" spans="1:9" ht="38.25" customHeight="1" thickBot="1" x14ac:dyDescent="0.25">
      <c r="A55" s="164"/>
      <c r="B55" s="176" t="s">
        <v>404</v>
      </c>
      <c r="C55" s="179" t="str">
        <f>C36</f>
        <v/>
      </c>
      <c r="D55" s="731" t="s">
        <v>405</v>
      </c>
      <c r="E55" s="730"/>
      <c r="F55" s="731"/>
      <c r="G55" s="731"/>
      <c r="H55" s="164"/>
      <c r="I55" s="164"/>
    </row>
    <row r="56" spans="1:9" ht="14.25" customHeight="1" x14ac:dyDescent="0.2">
      <c r="A56" s="163"/>
      <c r="B56" s="920" t="s">
        <v>419</v>
      </c>
      <c r="C56" s="920"/>
      <c r="D56" s="920"/>
      <c r="E56" s="920"/>
      <c r="F56" s="920"/>
      <c r="G56" s="920"/>
      <c r="H56" s="920"/>
      <c r="I56" s="920"/>
    </row>
    <row r="57" spans="1:9" ht="21" customHeight="1" x14ac:dyDescent="0.2"/>
    <row r="58" spans="1:9" ht="21" hidden="1" customHeight="1" x14ac:dyDescent="0.2"/>
    <row r="59" spans="1:9" ht="21" hidden="1" customHeight="1" x14ac:dyDescent="0.2"/>
    <row r="60" spans="1:9" ht="21" hidden="1" customHeight="1" x14ac:dyDescent="0.2"/>
    <row r="61" spans="1:9" ht="21" hidden="1" customHeight="1" x14ac:dyDescent="0.2"/>
    <row r="62" spans="1:9" ht="21" hidden="1" customHeight="1" x14ac:dyDescent="0.2"/>
    <row r="63" spans="1:9" ht="21" hidden="1" customHeight="1" x14ac:dyDescent="0.2"/>
    <row r="64" spans="1:9" ht="21" hidden="1" customHeight="1" x14ac:dyDescent="0.2"/>
    <row r="65" ht="21" hidden="1" customHeight="1" x14ac:dyDescent="0.2"/>
    <row r="66" ht="21" hidden="1" customHeight="1" x14ac:dyDescent="0.2"/>
    <row r="67" ht="21" hidden="1" customHeight="1" x14ac:dyDescent="0.2"/>
    <row r="68" ht="21" hidden="1" customHeight="1" x14ac:dyDescent="0.2"/>
    <row r="69" ht="21" hidden="1" customHeight="1" x14ac:dyDescent="0.2"/>
    <row r="70" ht="21" hidden="1" customHeight="1" x14ac:dyDescent="0.2"/>
    <row r="71" ht="21" hidden="1" customHeight="1" x14ac:dyDescent="0.2"/>
    <row r="72" ht="21" hidden="1" customHeight="1" x14ac:dyDescent="0.2"/>
    <row r="73" ht="21" hidden="1" customHeight="1" x14ac:dyDescent="0.2"/>
    <row r="74" ht="21" hidden="1" customHeight="1" x14ac:dyDescent="0.2"/>
    <row r="75" ht="21" hidden="1" customHeight="1" x14ac:dyDescent="0.2"/>
    <row r="76" ht="21" hidden="1" customHeight="1" x14ac:dyDescent="0.2"/>
    <row r="77" ht="21" hidden="1" customHeight="1" x14ac:dyDescent="0.2"/>
    <row r="78" ht="21" hidden="1" customHeight="1" x14ac:dyDescent="0.2"/>
    <row r="79" ht="21" hidden="1" customHeight="1" x14ac:dyDescent="0.2"/>
    <row r="80" ht="21" hidden="1" customHeight="1" x14ac:dyDescent="0.2"/>
    <row r="81" ht="21" hidden="1" customHeight="1" x14ac:dyDescent="0.2"/>
    <row r="82" ht="21" hidden="1" customHeight="1" x14ac:dyDescent="0.2"/>
    <row r="83" ht="21" hidden="1" customHeight="1" x14ac:dyDescent="0.2"/>
    <row r="84" ht="21" hidden="1" customHeight="1" x14ac:dyDescent="0.2"/>
    <row r="85" ht="21" hidden="1" customHeight="1" x14ac:dyDescent="0.2"/>
    <row r="86" ht="21" hidden="1" customHeight="1" x14ac:dyDescent="0.2"/>
    <row r="87" ht="21" hidden="1" customHeight="1" x14ac:dyDescent="0.2"/>
    <row r="88" ht="21" hidden="1" customHeight="1" x14ac:dyDescent="0.2"/>
    <row r="89" ht="21" hidden="1" customHeight="1" x14ac:dyDescent="0.2"/>
    <row r="90" ht="21" hidden="1" customHeight="1" x14ac:dyDescent="0.2"/>
    <row r="91" ht="21" hidden="1" customHeight="1" x14ac:dyDescent="0.2"/>
    <row r="92" ht="21" hidden="1" customHeight="1" x14ac:dyDescent="0.2"/>
    <row r="93" ht="21" hidden="1" customHeight="1" x14ac:dyDescent="0.2"/>
    <row r="94" ht="21" hidden="1" customHeight="1" x14ac:dyDescent="0.2"/>
    <row r="95" ht="21" hidden="1" customHeight="1" x14ac:dyDescent="0.2"/>
    <row r="96" ht="21" hidden="1" customHeight="1" x14ac:dyDescent="0.2"/>
    <row r="97" ht="21" hidden="1" customHeight="1" x14ac:dyDescent="0.2"/>
    <row r="98" ht="21" hidden="1" customHeight="1" x14ac:dyDescent="0.2"/>
    <row r="99" ht="21" hidden="1" customHeight="1" x14ac:dyDescent="0.2"/>
    <row r="100" ht="21" hidden="1" customHeight="1" x14ac:dyDescent="0.2"/>
    <row r="101" ht="21" hidden="1" customHeight="1" x14ac:dyDescent="0.2"/>
    <row r="102" ht="21" hidden="1" customHeight="1" x14ac:dyDescent="0.2"/>
    <row r="103" ht="21" hidden="1" customHeight="1" x14ac:dyDescent="0.2"/>
    <row r="104" ht="21" hidden="1" customHeight="1" x14ac:dyDescent="0.2"/>
    <row r="105" ht="21" hidden="1" customHeight="1" x14ac:dyDescent="0.2"/>
    <row r="106" ht="21" hidden="1" customHeight="1" x14ac:dyDescent="0.2"/>
    <row r="107" ht="21" hidden="1" customHeight="1" x14ac:dyDescent="0.2"/>
    <row r="108" ht="21" hidden="1" customHeight="1" x14ac:dyDescent="0.2"/>
    <row r="109" ht="21" hidden="1" customHeight="1" x14ac:dyDescent="0.2"/>
    <row r="110" ht="21" hidden="1" customHeight="1" x14ac:dyDescent="0.2"/>
    <row r="111" ht="21" hidden="1" customHeight="1" x14ac:dyDescent="0.2"/>
    <row r="112" ht="21" hidden="1" customHeight="1" x14ac:dyDescent="0.2"/>
    <row r="113" ht="21" hidden="1" customHeight="1" x14ac:dyDescent="0.2"/>
    <row r="114" ht="21" hidden="1" customHeight="1" x14ac:dyDescent="0.2"/>
    <row r="115" ht="21" hidden="1" customHeight="1" x14ac:dyDescent="0.2"/>
    <row r="116" ht="21" hidden="1" customHeight="1" x14ac:dyDescent="0.2"/>
    <row r="117" ht="21" hidden="1" customHeight="1" x14ac:dyDescent="0.2"/>
  </sheetData>
  <sheetProtection algorithmName="SHA-512" hashValue="wsjvu2XWGqovmFQDGbrjYU2LxU4HWEx0IE0pKFzxdgVFxvWd6ikXpJZpXt2+QdlAzMDSuJIbaJHPw+Slz1elkA==" saltValue="PcL5W4qDIni2LRF4cspaKA==" spinCount="100000" sheet="1" objects="1" scenarios="1"/>
  <mergeCells count="31">
    <mergeCell ref="D14:E14"/>
    <mergeCell ref="B26:C28"/>
    <mergeCell ref="E28:I28"/>
    <mergeCell ref="B37:I37"/>
    <mergeCell ref="A38:I38"/>
    <mergeCell ref="E27:I27"/>
    <mergeCell ref="D15:E15"/>
    <mergeCell ref="F15:I15"/>
    <mergeCell ref="E26:I26"/>
    <mergeCell ref="F14:I14"/>
    <mergeCell ref="B53:I53"/>
    <mergeCell ref="B56:I56"/>
    <mergeCell ref="B39:C39"/>
    <mergeCell ref="B46:I46"/>
    <mergeCell ref="A52:C52"/>
    <mergeCell ref="D11:E11"/>
    <mergeCell ref="F11:I11"/>
    <mergeCell ref="D12:E12"/>
    <mergeCell ref="F12:I12"/>
    <mergeCell ref="D13:E13"/>
    <mergeCell ref="F13:I13"/>
    <mergeCell ref="A9:B9"/>
    <mergeCell ref="D9:E9"/>
    <mergeCell ref="F9:I9"/>
    <mergeCell ref="D10:E10"/>
    <mergeCell ref="F10:I10"/>
    <mergeCell ref="P2:V5"/>
    <mergeCell ref="A5:H5"/>
    <mergeCell ref="C6:D6"/>
    <mergeCell ref="A7:H7"/>
    <mergeCell ref="A8:H8"/>
  </mergeCells>
  <conditionalFormatting sqref="C29 G29 G31 C31 C33">
    <cfRule type="cellIs" dxfId="18" priority="1" stopIfTrue="1" operator="equal">
      <formula>0</formula>
    </cfRule>
  </conditionalFormatting>
  <pageMargins left="0.7" right="0.7" top="0.75" bottom="0.75" header="0.3" footer="0.3"/>
  <pageSetup scale="91" fitToHeight="2" orientation="portrait" r:id="rId1"/>
  <headerFooter>
    <oddHeader xml:space="preserve">&amp;L -   </oddHeader>
    <oddFooter>&amp;CPage &amp;P - &amp;N</oddFooter>
  </headerFooter>
  <rowBreaks count="1" manualBreakCount="1">
    <brk id="17" max="8"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P59"/>
  <sheetViews>
    <sheetView showGridLines="0" topLeftCell="C40" zoomScaleNormal="100" workbookViewId="0">
      <selection activeCell="M38" sqref="M38:N39"/>
    </sheetView>
  </sheetViews>
  <sheetFormatPr defaultColWidth="0" defaultRowHeight="15" customHeight="1" zeroHeight="1" x14ac:dyDescent="0.25"/>
  <cols>
    <col min="1" max="2" width="9.140625" hidden="1" customWidth="1"/>
    <col min="3" max="3" width="6.7109375" customWidth="1"/>
    <col min="4" max="4" width="9.140625" customWidth="1"/>
    <col min="5" max="5" width="9.85546875" bestFit="1" customWidth="1"/>
    <col min="6" max="6" width="10.140625" bestFit="1" customWidth="1"/>
    <col min="7" max="7" width="9.140625" customWidth="1"/>
    <col min="8" max="8" width="23.42578125" customWidth="1"/>
    <col min="9" max="12" width="9.140625" customWidth="1"/>
    <col min="13" max="13" width="10.28515625" customWidth="1"/>
    <col min="14" max="14" width="18.42578125" customWidth="1"/>
    <col min="15" max="16" width="9.140625" customWidth="1"/>
    <col min="17" max="16384" width="9.140625" hidden="1"/>
  </cols>
  <sheetData>
    <row r="1" spans="3:15" x14ac:dyDescent="0.25">
      <c r="J1" s="990" t="s">
        <v>770</v>
      </c>
      <c r="K1" s="990"/>
      <c r="L1" s="990"/>
      <c r="M1" s="990"/>
      <c r="N1" s="990"/>
    </row>
    <row r="2" spans="3:15" x14ac:dyDescent="0.25">
      <c r="J2" s="937" t="s">
        <v>769</v>
      </c>
      <c r="K2" s="937"/>
      <c r="L2" s="937"/>
      <c r="M2" s="937"/>
      <c r="N2" s="937"/>
      <c r="O2" s="937"/>
    </row>
    <row r="3" spans="3:15" ht="17.25" x14ac:dyDescent="0.3">
      <c r="E3" s="721"/>
      <c r="F3" s="991" t="s">
        <v>768</v>
      </c>
      <c r="G3" s="991"/>
      <c r="H3" s="991"/>
      <c r="I3" s="991"/>
      <c r="J3" s="991"/>
      <c r="K3" s="991"/>
    </row>
    <row r="4" spans="3:15" ht="5.25" customHeight="1" x14ac:dyDescent="0.25">
      <c r="D4" s="720"/>
      <c r="E4" s="720"/>
      <c r="F4" s="720"/>
      <c r="G4" s="720"/>
      <c r="H4" s="720"/>
      <c r="I4" s="720"/>
      <c r="J4" s="720"/>
    </row>
    <row r="5" spans="3:15" ht="30.75" customHeight="1" x14ac:dyDescent="0.25">
      <c r="C5" s="992" t="s">
        <v>767</v>
      </c>
      <c r="D5" s="993"/>
      <c r="E5" s="993"/>
      <c r="F5" s="993"/>
      <c r="G5" s="993"/>
      <c r="H5" s="993"/>
      <c r="I5" s="993"/>
      <c r="J5" s="993"/>
      <c r="K5" s="993"/>
      <c r="L5" s="993"/>
      <c r="M5" s="993"/>
      <c r="N5" s="993"/>
    </row>
    <row r="6" spans="3:15" ht="5.25" customHeight="1" x14ac:dyDescent="0.25">
      <c r="C6" s="37"/>
      <c r="D6" s="37"/>
      <c r="E6" s="37"/>
      <c r="F6" s="37"/>
      <c r="G6" s="37"/>
      <c r="H6" s="37"/>
      <c r="I6" s="37"/>
      <c r="J6" s="37"/>
      <c r="K6" s="37"/>
      <c r="L6" s="37"/>
      <c r="M6" s="37"/>
      <c r="N6" s="37"/>
    </row>
    <row r="7" spans="3:15" x14ac:dyDescent="0.25">
      <c r="C7" s="993" t="s">
        <v>766</v>
      </c>
      <c r="D7" s="993"/>
      <c r="E7" s="993"/>
      <c r="F7" s="993"/>
      <c r="G7" s="993"/>
      <c r="H7" s="993"/>
      <c r="I7" s="993"/>
      <c r="J7" s="993"/>
      <c r="K7" s="993"/>
      <c r="L7" s="993"/>
      <c r="M7" s="993"/>
      <c r="N7" s="993"/>
      <c r="O7" s="719"/>
    </row>
    <row r="8" spans="3:15" ht="6" customHeight="1" x14ac:dyDescent="0.25"/>
    <row r="9" spans="3:15" ht="31.5" customHeight="1" x14ac:dyDescent="0.25">
      <c r="C9" s="718">
        <v>1</v>
      </c>
      <c r="D9" s="944" t="s">
        <v>765</v>
      </c>
      <c r="E9" s="945"/>
      <c r="F9" s="945"/>
      <c r="G9" s="945"/>
      <c r="H9" s="946"/>
      <c r="I9" s="947" t="str">
        <f>IF(E_Name="","",E_Name)</f>
        <v xml:space="preserve">  </v>
      </c>
      <c r="J9" s="948"/>
      <c r="K9" s="948"/>
      <c r="L9" s="948"/>
      <c r="M9" s="948"/>
      <c r="N9" s="949"/>
    </row>
    <row r="10" spans="3:15" ht="15" customHeight="1" x14ac:dyDescent="0.25">
      <c r="C10" s="970">
        <v>2</v>
      </c>
      <c r="D10" s="977" t="s">
        <v>764</v>
      </c>
      <c r="E10" s="978"/>
      <c r="F10" s="978"/>
      <c r="G10" s="978"/>
      <c r="H10" s="979"/>
      <c r="I10" s="983"/>
      <c r="J10" s="984"/>
      <c r="K10" s="984"/>
      <c r="L10" s="984"/>
      <c r="M10" s="984"/>
      <c r="N10" s="985"/>
    </row>
    <row r="11" spans="3:15" x14ac:dyDescent="0.25">
      <c r="C11" s="970"/>
      <c r="D11" s="980"/>
      <c r="E11" s="981"/>
      <c r="F11" s="981"/>
      <c r="G11" s="981"/>
      <c r="H11" s="982"/>
      <c r="I11" s="986"/>
      <c r="J11" s="987"/>
      <c r="K11" s="987"/>
      <c r="L11" s="987"/>
      <c r="M11" s="987"/>
      <c r="N11" s="988"/>
    </row>
    <row r="12" spans="3:15" ht="18" customHeight="1" x14ac:dyDescent="0.25">
      <c r="C12" s="718">
        <v>3</v>
      </c>
      <c r="D12" s="944" t="s">
        <v>763</v>
      </c>
      <c r="E12" s="945"/>
      <c r="F12" s="945"/>
      <c r="G12" s="945"/>
      <c r="H12" s="946"/>
      <c r="I12" s="974" t="str">
        <f>IF(DOB="","",DOB)</f>
        <v/>
      </c>
      <c r="J12" s="975"/>
      <c r="K12" s="975"/>
      <c r="L12" s="975"/>
      <c r="M12" s="975"/>
      <c r="N12" s="976"/>
    </row>
    <row r="13" spans="3:15" ht="18" customHeight="1" x14ac:dyDescent="0.25">
      <c r="C13" s="718">
        <v>4</v>
      </c>
      <c r="D13" s="944" t="s">
        <v>762</v>
      </c>
      <c r="E13" s="945"/>
      <c r="F13" s="945"/>
      <c r="G13" s="945"/>
      <c r="H13" s="946"/>
      <c r="I13" s="947" t="str">
        <f>IF(Sex="","",Sex)</f>
        <v/>
      </c>
      <c r="J13" s="948"/>
      <c r="K13" s="948"/>
      <c r="L13" s="948"/>
      <c r="M13" s="948"/>
      <c r="N13" s="949"/>
    </row>
    <row r="14" spans="3:15" ht="18" customHeight="1" x14ac:dyDescent="0.25">
      <c r="C14" s="718">
        <v>5</v>
      </c>
      <c r="D14" s="944" t="s">
        <v>761</v>
      </c>
      <c r="E14" s="945"/>
      <c r="F14" s="945"/>
      <c r="G14" s="945"/>
      <c r="H14" s="946"/>
      <c r="I14" s="947" t="str">
        <f>IF(M_Status="","",M_Status)</f>
        <v/>
      </c>
      <c r="J14" s="948"/>
      <c r="K14" s="948"/>
      <c r="L14" s="948"/>
      <c r="M14" s="948"/>
      <c r="N14" s="949"/>
    </row>
    <row r="15" spans="3:15" ht="15" customHeight="1" x14ac:dyDescent="0.25">
      <c r="C15" s="970">
        <v>6</v>
      </c>
      <c r="D15" s="977" t="s">
        <v>760</v>
      </c>
      <c r="E15" s="978"/>
      <c r="F15" s="978"/>
      <c r="G15" s="978"/>
      <c r="H15" s="979"/>
      <c r="I15" s="983" t="str">
        <f>IF(Email_I="","",Email_I)</f>
        <v/>
      </c>
      <c r="J15" s="984"/>
      <c r="K15" s="984"/>
      <c r="L15" s="984"/>
      <c r="M15" s="984"/>
      <c r="N15" s="985"/>
    </row>
    <row r="16" spans="3:15" x14ac:dyDescent="0.25">
      <c r="C16" s="970"/>
      <c r="D16" s="980"/>
      <c r="E16" s="981"/>
      <c r="F16" s="981"/>
      <c r="G16" s="981"/>
      <c r="H16" s="982"/>
      <c r="I16" s="989" t="str">
        <f>IF(Mobile_N="","",Mobile_N)</f>
        <v/>
      </c>
      <c r="J16" s="987"/>
      <c r="K16" s="987"/>
      <c r="L16" s="987"/>
      <c r="M16" s="987"/>
      <c r="N16" s="988"/>
    </row>
    <row r="17" spans="3:14" ht="33" customHeight="1" x14ac:dyDescent="0.25">
      <c r="C17" s="718">
        <v>7</v>
      </c>
      <c r="D17" s="971" t="s">
        <v>759</v>
      </c>
      <c r="E17" s="945"/>
      <c r="F17" s="945"/>
      <c r="G17" s="945"/>
      <c r="H17" s="946"/>
      <c r="I17" s="974" t="str">
        <f>IF(EPF="","",EPF)</f>
        <v>No</v>
      </c>
      <c r="J17" s="975"/>
      <c r="K17" s="975"/>
      <c r="L17" s="975"/>
      <c r="M17" s="975"/>
      <c r="N17" s="976"/>
    </row>
    <row r="18" spans="3:14" ht="18" customHeight="1" x14ac:dyDescent="0.25">
      <c r="C18" s="718">
        <v>8</v>
      </c>
      <c r="D18" s="944" t="s">
        <v>758</v>
      </c>
      <c r="E18" s="945"/>
      <c r="F18" s="945"/>
      <c r="G18" s="945"/>
      <c r="H18" s="946"/>
      <c r="I18" s="967" t="str">
        <f>IF(Pension="","",Pension)</f>
        <v>Yes</v>
      </c>
      <c r="J18" s="968"/>
      <c r="K18" s="968"/>
      <c r="L18" s="968"/>
      <c r="M18" s="968"/>
      <c r="N18" s="969"/>
    </row>
    <row r="19" spans="3:14" ht="35.25" customHeight="1" x14ac:dyDescent="0.25">
      <c r="C19" s="970">
        <v>9</v>
      </c>
      <c r="D19" s="971" t="s">
        <v>757</v>
      </c>
      <c r="E19" s="972"/>
      <c r="F19" s="972"/>
      <c r="G19" s="972"/>
      <c r="H19" s="973"/>
      <c r="I19" s="947" t="str">
        <f>IF(UAN_N="","",UAN_N)</f>
        <v/>
      </c>
      <c r="J19" s="948"/>
      <c r="K19" s="948"/>
      <c r="L19" s="948"/>
      <c r="M19" s="948"/>
      <c r="N19" s="949"/>
    </row>
    <row r="20" spans="3:14" ht="18" customHeight="1" x14ac:dyDescent="0.25">
      <c r="C20" s="970"/>
      <c r="D20" s="944" t="s">
        <v>756</v>
      </c>
      <c r="E20" s="945"/>
      <c r="F20" s="945"/>
      <c r="G20" s="945"/>
      <c r="H20" s="946"/>
      <c r="I20" s="947" t="str">
        <f>IF(PF_N="","",PF_N)</f>
        <v/>
      </c>
      <c r="J20" s="948"/>
      <c r="K20" s="948"/>
      <c r="L20" s="948"/>
      <c r="M20" s="948"/>
      <c r="N20" s="949"/>
    </row>
    <row r="21" spans="3:14" ht="18" customHeight="1" x14ac:dyDescent="0.25">
      <c r="C21" s="970"/>
      <c r="D21" s="944" t="s">
        <v>755</v>
      </c>
      <c r="E21" s="945"/>
      <c r="F21" s="945"/>
      <c r="G21" s="945"/>
      <c r="H21" s="946"/>
      <c r="I21" s="974" t="str">
        <f>IF(LWD="","",LWD)</f>
        <v/>
      </c>
      <c r="J21" s="975"/>
      <c r="K21" s="975"/>
      <c r="L21" s="975"/>
      <c r="M21" s="975"/>
      <c r="N21" s="976"/>
    </row>
    <row r="22" spans="3:14" ht="18" customHeight="1" x14ac:dyDescent="0.25">
      <c r="C22" s="970"/>
      <c r="D22" s="944" t="s">
        <v>754</v>
      </c>
      <c r="E22" s="945"/>
      <c r="F22" s="945"/>
      <c r="G22" s="945"/>
      <c r="H22" s="946"/>
      <c r="I22" s="947"/>
      <c r="J22" s="948"/>
      <c r="K22" s="948"/>
      <c r="L22" s="948"/>
      <c r="M22" s="948"/>
      <c r="N22" s="949"/>
    </row>
    <row r="23" spans="3:14" ht="18" customHeight="1" x14ac:dyDescent="0.25">
      <c r="C23" s="970"/>
      <c r="D23" s="944" t="s">
        <v>753</v>
      </c>
      <c r="E23" s="945"/>
      <c r="F23" s="945"/>
      <c r="G23" s="945"/>
      <c r="H23" s="946"/>
      <c r="I23" s="947"/>
      <c r="J23" s="948"/>
      <c r="K23" s="948"/>
      <c r="L23" s="948"/>
      <c r="M23" s="948"/>
      <c r="N23" s="949"/>
    </row>
    <row r="24" spans="3:14" ht="18" customHeight="1" x14ac:dyDescent="0.25">
      <c r="C24" s="956">
        <v>10</v>
      </c>
      <c r="D24" s="944" t="s">
        <v>752</v>
      </c>
      <c r="E24" s="945"/>
      <c r="F24" s="945"/>
      <c r="G24" s="945"/>
      <c r="H24" s="946"/>
      <c r="I24" s="959" t="s">
        <v>751</v>
      </c>
      <c r="J24" s="960"/>
      <c r="K24" s="960"/>
      <c r="L24" s="960"/>
      <c r="M24" s="960"/>
      <c r="N24" s="961"/>
    </row>
    <row r="25" spans="3:14" ht="18" customHeight="1" x14ac:dyDescent="0.25">
      <c r="C25" s="957"/>
      <c r="D25" s="944" t="s">
        <v>750</v>
      </c>
      <c r="E25" s="945"/>
      <c r="F25" s="945"/>
      <c r="G25" s="945"/>
      <c r="H25" s="946"/>
      <c r="I25" s="947"/>
      <c r="J25" s="948"/>
      <c r="K25" s="948"/>
      <c r="L25" s="948"/>
      <c r="M25" s="948"/>
      <c r="N25" s="949"/>
    </row>
    <row r="26" spans="3:14" ht="18" customHeight="1" x14ac:dyDescent="0.25">
      <c r="C26" s="957"/>
      <c r="D26" s="944" t="s">
        <v>749</v>
      </c>
      <c r="E26" s="945"/>
      <c r="F26" s="945"/>
      <c r="G26" s="945"/>
      <c r="H26" s="946"/>
      <c r="I26" s="947"/>
      <c r="J26" s="948"/>
      <c r="K26" s="948"/>
      <c r="L26" s="948"/>
      <c r="M26" s="948"/>
      <c r="N26" s="949"/>
    </row>
    <row r="27" spans="3:14" ht="18" customHeight="1" x14ac:dyDescent="0.25">
      <c r="C27" s="958"/>
      <c r="D27" s="944" t="s">
        <v>748</v>
      </c>
      <c r="E27" s="945"/>
      <c r="F27" s="945"/>
      <c r="G27" s="945"/>
      <c r="H27" s="946"/>
      <c r="I27" s="962"/>
      <c r="J27" s="963"/>
      <c r="K27" s="964" t="s">
        <v>420</v>
      </c>
      <c r="L27" s="964"/>
      <c r="M27" s="965"/>
      <c r="N27" s="966"/>
    </row>
    <row r="28" spans="3:14" ht="18" customHeight="1" x14ac:dyDescent="0.25">
      <c r="C28" s="941">
        <v>11</v>
      </c>
      <c r="D28" s="944" t="s">
        <v>747</v>
      </c>
      <c r="E28" s="945"/>
      <c r="F28" s="945"/>
      <c r="G28" s="945"/>
      <c r="H28" s="946"/>
      <c r="I28" s="947"/>
      <c r="J28" s="948"/>
      <c r="K28" s="948"/>
      <c r="L28" s="948"/>
      <c r="M28" s="948"/>
      <c r="N28" s="949"/>
    </row>
    <row r="29" spans="3:14" ht="18" customHeight="1" x14ac:dyDescent="0.25">
      <c r="C29" s="942"/>
      <c r="D29" s="944" t="s">
        <v>746</v>
      </c>
      <c r="E29" s="945"/>
      <c r="F29" s="945"/>
      <c r="G29" s="945"/>
      <c r="H29" s="946"/>
      <c r="I29" s="947" t="str">
        <f>IF(Bank_Acc1="","",Bank_Acc)</f>
        <v xml:space="preserve"> &amp; </v>
      </c>
      <c r="J29" s="948"/>
      <c r="K29" s="948"/>
      <c r="L29" s="948"/>
      <c r="M29" s="948"/>
      <c r="N29" s="949"/>
    </row>
    <row r="30" spans="3:14" ht="18" customHeight="1" x14ac:dyDescent="0.25">
      <c r="C30" s="942"/>
      <c r="D30" s="944" t="s">
        <v>745</v>
      </c>
      <c r="E30" s="945"/>
      <c r="F30" s="945"/>
      <c r="G30" s="945"/>
      <c r="H30" s="946"/>
      <c r="I30" s="950" t="str">
        <f>IF(Adh_no="","",Adh_no)</f>
        <v/>
      </c>
      <c r="J30" s="951"/>
      <c r="K30" s="951"/>
      <c r="L30" s="951"/>
      <c r="M30" s="951"/>
      <c r="N30" s="952"/>
    </row>
    <row r="31" spans="3:14" ht="18" customHeight="1" x14ac:dyDescent="0.25">
      <c r="C31" s="943"/>
      <c r="D31" s="953" t="s">
        <v>744</v>
      </c>
      <c r="E31" s="954"/>
      <c r="F31" s="954"/>
      <c r="G31" s="954"/>
      <c r="H31" s="955"/>
      <c r="I31" s="947" t="str">
        <f>IF(Pan_no="","",Pan_no)</f>
        <v/>
      </c>
      <c r="J31" s="948"/>
      <c r="K31" s="948"/>
      <c r="L31" s="948"/>
      <c r="M31" s="948"/>
      <c r="N31" s="949"/>
    </row>
    <row r="32" spans="3:14" ht="19.5" x14ac:dyDescent="0.3">
      <c r="H32" s="936" t="s">
        <v>743</v>
      </c>
      <c r="I32" s="936"/>
    </row>
    <row r="33" spans="4:15" x14ac:dyDescent="0.25">
      <c r="D33" s="937" t="s">
        <v>742</v>
      </c>
      <c r="E33" s="937"/>
      <c r="F33" s="937"/>
      <c r="G33" s="937"/>
      <c r="H33" s="937"/>
      <c r="I33" s="937"/>
      <c r="J33" s="937"/>
      <c r="K33" s="937"/>
      <c r="L33" s="937"/>
      <c r="M33" s="937"/>
      <c r="N33" s="937"/>
      <c r="O33" s="937"/>
    </row>
    <row r="34" spans="4:15" x14ac:dyDescent="0.25">
      <c r="D34" s="716" t="s">
        <v>771</v>
      </c>
      <c r="E34" s="716"/>
      <c r="F34" s="716"/>
      <c r="G34" s="716"/>
      <c r="H34" s="716"/>
      <c r="I34" s="716"/>
      <c r="J34" s="716"/>
      <c r="K34" s="716" t="e">
        <f>'Form-11'!I10:N11</f>
        <v>#VALUE!</v>
      </c>
      <c r="L34" s="716"/>
      <c r="M34" s="716"/>
      <c r="N34" s="716"/>
    </row>
    <row r="35" spans="4:15" ht="49.5" customHeight="1" x14ac:dyDescent="0.25">
      <c r="D35" s="938" t="s">
        <v>741</v>
      </c>
      <c r="E35" s="938"/>
      <c r="F35" s="938"/>
      <c r="G35" s="938"/>
      <c r="H35" s="938"/>
      <c r="I35" s="938"/>
      <c r="J35" s="938"/>
      <c r="K35" s="938"/>
      <c r="L35" s="938"/>
      <c r="M35" s="938"/>
      <c r="N35" s="938"/>
      <c r="O35" s="717"/>
    </row>
    <row r="36" spans="4:15" x14ac:dyDescent="0.25">
      <c r="D36" s="716" t="s">
        <v>740</v>
      </c>
      <c r="E36" s="716"/>
      <c r="F36" s="716"/>
      <c r="G36" s="716"/>
      <c r="H36" s="716"/>
      <c r="I36" s="716"/>
      <c r="J36" s="716"/>
      <c r="K36" s="716"/>
      <c r="L36" s="716"/>
      <c r="M36" s="716"/>
      <c r="N36" s="716"/>
    </row>
    <row r="37" spans="4:15" x14ac:dyDescent="0.25"/>
    <row r="38" spans="4:15" x14ac:dyDescent="0.25">
      <c r="D38" s="715" t="s">
        <v>321</v>
      </c>
      <c r="E38" s="722" t="str">
        <f>IF(DOJ="","",DOJ)</f>
        <v/>
      </c>
      <c r="M38" s="732"/>
      <c r="N38" s="732"/>
    </row>
    <row r="39" spans="4:15" x14ac:dyDescent="0.25">
      <c r="D39" s="715" t="s">
        <v>739</v>
      </c>
      <c r="E39" t="str">
        <f>IF(Loc_Det="","",Loc_Det)</f>
        <v/>
      </c>
      <c r="M39" s="733" t="s">
        <v>738</v>
      </c>
      <c r="N39" s="732"/>
    </row>
    <row r="40" spans="4:15" ht="7.5" customHeight="1" x14ac:dyDescent="0.25"/>
    <row r="41" spans="4:15" ht="18.75" x14ac:dyDescent="0.3">
      <c r="G41" s="939" t="s">
        <v>737</v>
      </c>
      <c r="H41" s="939"/>
      <c r="I41" s="939"/>
      <c r="J41" s="939"/>
      <c r="K41" s="939"/>
    </row>
    <row r="42" spans="4:15" ht="38.25" customHeight="1" x14ac:dyDescent="0.25">
      <c r="D42" s="938" t="s">
        <v>736</v>
      </c>
      <c r="E42" s="938"/>
      <c r="F42" s="938"/>
      <c r="G42" s="938"/>
      <c r="H42" s="938"/>
      <c r="I42" s="938"/>
      <c r="J42" s="938"/>
      <c r="K42" s="938"/>
      <c r="L42" s="938"/>
      <c r="M42" s="938"/>
      <c r="N42" s="938"/>
      <c r="O42" s="717"/>
    </row>
    <row r="43" spans="4:15" x14ac:dyDescent="0.25">
      <c r="D43" s="937" t="s">
        <v>735</v>
      </c>
      <c r="E43" s="937"/>
      <c r="F43" s="937"/>
      <c r="G43" s="937"/>
      <c r="H43" s="937"/>
      <c r="I43" s="937"/>
      <c r="J43" s="937"/>
      <c r="K43" s="937"/>
      <c r="L43" s="716"/>
      <c r="M43" s="716"/>
      <c r="N43" s="716"/>
      <c r="O43" s="716"/>
    </row>
    <row r="44" spans="4:15" x14ac:dyDescent="0.25">
      <c r="D44" s="940" t="s">
        <v>734</v>
      </c>
      <c r="E44" s="940"/>
      <c r="F44" s="940"/>
      <c r="G44" s="940"/>
      <c r="H44" s="940"/>
      <c r="I44" s="940"/>
      <c r="J44" s="940"/>
    </row>
    <row r="45" spans="4:15" x14ac:dyDescent="0.25">
      <c r="D45" s="937" t="s">
        <v>733</v>
      </c>
      <c r="E45" s="937"/>
      <c r="F45" s="937"/>
      <c r="G45" s="937"/>
      <c r="H45" s="937"/>
      <c r="I45" s="937"/>
    </row>
    <row r="46" spans="4:15" x14ac:dyDescent="0.25">
      <c r="E46" s="940" t="s">
        <v>732</v>
      </c>
      <c r="F46" s="940"/>
      <c r="G46" s="940"/>
      <c r="H46" s="940"/>
      <c r="I46" s="940"/>
    </row>
    <row r="47" spans="4:15" x14ac:dyDescent="0.25">
      <c r="E47" s="937" t="s">
        <v>731</v>
      </c>
      <c r="F47" s="937"/>
      <c r="G47" s="937"/>
      <c r="H47" s="937"/>
    </row>
    <row r="48" spans="4:15" x14ac:dyDescent="0.25">
      <c r="E48" s="937" t="s">
        <v>730</v>
      </c>
      <c r="F48" s="937"/>
      <c r="G48" s="937"/>
      <c r="H48" s="937"/>
    </row>
    <row r="49" spans="4:15" x14ac:dyDescent="0.25">
      <c r="E49" s="937" t="s">
        <v>729</v>
      </c>
      <c r="F49" s="937"/>
      <c r="G49" s="937"/>
      <c r="H49" s="937"/>
    </row>
    <row r="50" spans="4:15" x14ac:dyDescent="0.25">
      <c r="D50" s="937" t="s">
        <v>728</v>
      </c>
      <c r="E50" s="937"/>
      <c r="F50" s="937"/>
      <c r="G50" s="937"/>
      <c r="H50" s="937"/>
      <c r="I50" s="937"/>
      <c r="J50" s="937"/>
      <c r="K50" s="716"/>
      <c r="L50" s="716"/>
    </row>
    <row r="51" spans="4:15" ht="32.25" customHeight="1" x14ac:dyDescent="0.25">
      <c r="D51" s="938" t="s">
        <v>727</v>
      </c>
      <c r="E51" s="937"/>
      <c r="F51" s="937"/>
      <c r="G51" s="937"/>
      <c r="H51" s="937"/>
      <c r="I51" s="937"/>
      <c r="J51" s="937"/>
      <c r="K51" s="937"/>
      <c r="L51" s="937"/>
      <c r="M51" s="937"/>
      <c r="N51" s="937"/>
      <c r="O51" s="937"/>
    </row>
    <row r="52" spans="4:15" x14ac:dyDescent="0.25">
      <c r="D52" s="937" t="s">
        <v>726</v>
      </c>
      <c r="E52" s="937"/>
      <c r="F52" s="937"/>
      <c r="G52" s="937"/>
      <c r="H52" s="937"/>
    </row>
    <row r="53" spans="4:15" ht="7.5" customHeight="1" x14ac:dyDescent="0.25"/>
    <row r="54" spans="4:15" ht="30.75" customHeight="1" x14ac:dyDescent="0.25">
      <c r="E54" s="938" t="s">
        <v>725</v>
      </c>
      <c r="F54" s="937"/>
      <c r="G54" s="937"/>
      <c r="H54" s="937"/>
      <c r="I54" s="937"/>
      <c r="J54" s="937"/>
      <c r="K54" s="937"/>
      <c r="L54" s="937"/>
      <c r="M54" s="937"/>
      <c r="N54" s="937"/>
    </row>
    <row r="55" spans="4:15" ht="38.25" customHeight="1" x14ac:dyDescent="0.25">
      <c r="E55" s="938" t="s">
        <v>724</v>
      </c>
      <c r="F55" s="938"/>
      <c r="G55" s="938"/>
      <c r="H55" s="938"/>
      <c r="I55" s="938"/>
      <c r="J55" s="938"/>
      <c r="K55" s="938"/>
      <c r="L55" s="938"/>
      <c r="M55" s="938"/>
      <c r="N55" s="938"/>
      <c r="O55" s="938"/>
    </row>
    <row r="56" spans="4:15" x14ac:dyDescent="0.25"/>
    <row r="57" spans="4:15" x14ac:dyDescent="0.25"/>
    <row r="58" spans="4:15" x14ac:dyDescent="0.25">
      <c r="E58" s="715" t="s">
        <v>321</v>
      </c>
      <c r="F58" s="722" t="str">
        <f>IF(DOJ="","",DOJ)</f>
        <v/>
      </c>
      <c r="K58" s="715" t="s">
        <v>723</v>
      </c>
    </row>
    <row r="59" spans="4:15" x14ac:dyDescent="0.25"/>
  </sheetData>
  <mergeCells count="72">
    <mergeCell ref="D9:H9"/>
    <mergeCell ref="I9:N9"/>
    <mergeCell ref="J1:N1"/>
    <mergeCell ref="J2:O2"/>
    <mergeCell ref="F3:K3"/>
    <mergeCell ref="C5:N5"/>
    <mergeCell ref="C7:N7"/>
    <mergeCell ref="D17:H17"/>
    <mergeCell ref="I17:N17"/>
    <mergeCell ref="C10:C11"/>
    <mergeCell ref="D10:H11"/>
    <mergeCell ref="I10:N11"/>
    <mergeCell ref="D12:H12"/>
    <mergeCell ref="I12:N12"/>
    <mergeCell ref="D13:H13"/>
    <mergeCell ref="I13:N13"/>
    <mergeCell ref="D14:H14"/>
    <mergeCell ref="I14:N14"/>
    <mergeCell ref="C15:C16"/>
    <mergeCell ref="D15:H16"/>
    <mergeCell ref="I15:N15"/>
    <mergeCell ref="I16:N16"/>
    <mergeCell ref="D18:H18"/>
    <mergeCell ref="I18:N18"/>
    <mergeCell ref="C19:C23"/>
    <mergeCell ref="D19:H19"/>
    <mergeCell ref="I19:N19"/>
    <mergeCell ref="D20:H20"/>
    <mergeCell ref="I20:N20"/>
    <mergeCell ref="D21:H21"/>
    <mergeCell ref="I21:N21"/>
    <mergeCell ref="D22:H22"/>
    <mergeCell ref="I22:N22"/>
    <mergeCell ref="D23:H23"/>
    <mergeCell ref="I23:N23"/>
    <mergeCell ref="C24:C27"/>
    <mergeCell ref="D24:H24"/>
    <mergeCell ref="I24:N24"/>
    <mergeCell ref="D25:H25"/>
    <mergeCell ref="I25:N25"/>
    <mergeCell ref="D26:H26"/>
    <mergeCell ref="I26:N26"/>
    <mergeCell ref="I27:J27"/>
    <mergeCell ref="K27:L27"/>
    <mergeCell ref="M27:N27"/>
    <mergeCell ref="D27:H27"/>
    <mergeCell ref="C28:C31"/>
    <mergeCell ref="D28:H28"/>
    <mergeCell ref="I28:N28"/>
    <mergeCell ref="D29:H29"/>
    <mergeCell ref="I29:N29"/>
    <mergeCell ref="D30:H30"/>
    <mergeCell ref="I30:N30"/>
    <mergeCell ref="D31:H31"/>
    <mergeCell ref="I31:N31"/>
    <mergeCell ref="D51:O51"/>
    <mergeCell ref="D52:H52"/>
    <mergeCell ref="E54:N54"/>
    <mergeCell ref="E55:O55"/>
    <mergeCell ref="D43:K43"/>
    <mergeCell ref="D44:J44"/>
    <mergeCell ref="D45:I45"/>
    <mergeCell ref="E46:I46"/>
    <mergeCell ref="E47:H47"/>
    <mergeCell ref="E48:H48"/>
    <mergeCell ref="E49:H49"/>
    <mergeCell ref="D50:J50"/>
    <mergeCell ref="H32:I32"/>
    <mergeCell ref="D33:O33"/>
    <mergeCell ref="D35:N35"/>
    <mergeCell ref="G41:K41"/>
    <mergeCell ref="D42:N42"/>
  </mergeCells>
  <pageMargins left="0.7" right="0.7" top="0.75" bottom="0.75" header="0.3" footer="0.3"/>
  <pageSetup paperSize="9" scale="6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Check Box 1">
              <controlPr defaultSize="0" autoFill="0" autoLine="0" autoPict="0">
                <anchor moveWithCells="1">
                  <from>
                    <xdr:col>4</xdr:col>
                    <xdr:colOff>400050</xdr:colOff>
                    <xdr:row>8</xdr:row>
                    <xdr:rowOff>390525</xdr:rowOff>
                  </from>
                  <to>
                    <xdr:col>5</xdr:col>
                    <xdr:colOff>47625</xdr:colOff>
                    <xdr:row>10</xdr:row>
                    <xdr:rowOff>47625</xdr:rowOff>
                  </to>
                </anchor>
              </controlPr>
            </control>
          </mc:Choice>
        </mc:AlternateContent>
        <mc:AlternateContent xmlns:mc="http://schemas.openxmlformats.org/markup-compatibility/2006">
          <mc:Choice Requires="x14">
            <control shapeId="50178" r:id="rId5" name="Check Box 2">
              <controlPr defaultSize="0" autoFill="0" autoLine="0" autoPict="0">
                <anchor moveWithCells="1">
                  <from>
                    <xdr:col>6</xdr:col>
                    <xdr:colOff>295275</xdr:colOff>
                    <xdr:row>9</xdr:row>
                    <xdr:rowOff>0</xdr:rowOff>
                  </from>
                  <to>
                    <xdr:col>6</xdr:col>
                    <xdr:colOff>600075</xdr:colOff>
                    <xdr:row>10</xdr:row>
                    <xdr:rowOff>28575</xdr:rowOff>
                  </to>
                </anchor>
              </controlPr>
            </control>
          </mc:Choice>
        </mc:AlternateContent>
        <mc:AlternateContent xmlns:mc="http://schemas.openxmlformats.org/markup-compatibility/2006">
          <mc:Choice Requires="x14">
            <control shapeId="50179" r:id="rId6" name="Check Box 3">
              <controlPr defaultSize="0" autoFill="0" autoLine="0" autoPict="0">
                <anchor moveWithCells="1">
                  <from>
                    <xdr:col>4</xdr:col>
                    <xdr:colOff>38100</xdr:colOff>
                    <xdr:row>45</xdr:row>
                    <xdr:rowOff>171450</xdr:rowOff>
                  </from>
                  <to>
                    <xdr:col>4</xdr:col>
                    <xdr:colOff>342900</xdr:colOff>
                    <xdr:row>47</xdr:row>
                    <xdr:rowOff>9525</xdr:rowOff>
                  </to>
                </anchor>
              </controlPr>
            </control>
          </mc:Choice>
        </mc:AlternateContent>
        <mc:AlternateContent xmlns:mc="http://schemas.openxmlformats.org/markup-compatibility/2006">
          <mc:Choice Requires="x14">
            <control shapeId="50180" r:id="rId7" name="Check Box 4">
              <controlPr defaultSize="0" autoFill="0" autoLine="0" autoPict="0">
                <anchor moveWithCells="1">
                  <from>
                    <xdr:col>4</xdr:col>
                    <xdr:colOff>38100</xdr:colOff>
                    <xdr:row>46</xdr:row>
                    <xdr:rowOff>171450</xdr:rowOff>
                  </from>
                  <to>
                    <xdr:col>4</xdr:col>
                    <xdr:colOff>342900</xdr:colOff>
                    <xdr:row>48</xdr:row>
                    <xdr:rowOff>9525</xdr:rowOff>
                  </to>
                </anchor>
              </controlPr>
            </control>
          </mc:Choice>
        </mc:AlternateContent>
        <mc:AlternateContent xmlns:mc="http://schemas.openxmlformats.org/markup-compatibility/2006">
          <mc:Choice Requires="x14">
            <control shapeId="50181" r:id="rId8" name="Check Box 5">
              <controlPr defaultSize="0" autoFill="0" autoLine="0" autoPict="0">
                <anchor moveWithCells="1">
                  <from>
                    <xdr:col>4</xdr:col>
                    <xdr:colOff>38100</xdr:colOff>
                    <xdr:row>47</xdr:row>
                    <xdr:rowOff>171450</xdr:rowOff>
                  </from>
                  <to>
                    <xdr:col>4</xdr:col>
                    <xdr:colOff>342900</xdr:colOff>
                    <xdr:row>49</xdr:row>
                    <xdr:rowOff>9525</xdr:rowOff>
                  </to>
                </anchor>
              </controlPr>
            </control>
          </mc:Choice>
        </mc:AlternateContent>
        <mc:AlternateContent xmlns:mc="http://schemas.openxmlformats.org/markup-compatibility/2006">
          <mc:Choice Requires="x14">
            <control shapeId="50182" r:id="rId9" name="Check Box 6">
              <controlPr defaultSize="0" autoFill="0" autoLine="0" autoPict="0">
                <anchor moveWithCells="1">
                  <from>
                    <xdr:col>4</xdr:col>
                    <xdr:colOff>19050</xdr:colOff>
                    <xdr:row>53</xdr:row>
                    <xdr:rowOff>66675</xdr:rowOff>
                  </from>
                  <to>
                    <xdr:col>4</xdr:col>
                    <xdr:colOff>323850</xdr:colOff>
                    <xdr:row>53</xdr:row>
                    <xdr:rowOff>285750</xdr:rowOff>
                  </to>
                </anchor>
              </controlPr>
            </control>
          </mc:Choice>
        </mc:AlternateContent>
        <mc:AlternateContent xmlns:mc="http://schemas.openxmlformats.org/markup-compatibility/2006">
          <mc:Choice Requires="x14">
            <control shapeId="50183" r:id="rId10" name="Check Box 7">
              <controlPr defaultSize="0" autoFill="0" autoLine="0" autoPict="0">
                <anchor moveWithCells="1">
                  <from>
                    <xdr:col>4</xdr:col>
                    <xdr:colOff>19050</xdr:colOff>
                    <xdr:row>54</xdr:row>
                    <xdr:rowOff>85725</xdr:rowOff>
                  </from>
                  <to>
                    <xdr:col>4</xdr:col>
                    <xdr:colOff>323850</xdr:colOff>
                    <xdr:row>54</xdr:row>
                    <xdr:rowOff>304800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pageSetUpPr fitToPage="1"/>
  </sheetPr>
  <dimension ref="A1:WVP50"/>
  <sheetViews>
    <sheetView showGridLines="0" showRowColHeaders="0" topLeftCell="A16" zoomScale="85" zoomScaleNormal="85" zoomScaleSheetLayoutView="100" workbookViewId="0">
      <selection activeCell="I33" sqref="I33"/>
    </sheetView>
  </sheetViews>
  <sheetFormatPr defaultColWidth="0" defaultRowHeight="12.75" zeroHeight="1" x14ac:dyDescent="0.2"/>
  <cols>
    <col min="1" max="1" width="2.5703125" style="202" customWidth="1"/>
    <col min="2" max="2" width="24.85546875" style="202" customWidth="1"/>
    <col min="3" max="3" width="23.42578125" style="202" customWidth="1"/>
    <col min="4" max="4" width="12.5703125" style="202" customWidth="1"/>
    <col min="5" max="5" width="10.5703125" style="202" customWidth="1"/>
    <col min="6" max="6" width="12" style="202" customWidth="1"/>
    <col min="7" max="7" width="20.28515625" style="202" customWidth="1"/>
    <col min="8" max="8" width="2.5703125" style="202" customWidth="1"/>
    <col min="9" max="9" width="11.85546875" style="202" customWidth="1"/>
    <col min="10" max="17" width="9.140625" style="202" hidden="1" customWidth="1"/>
    <col min="18" max="257" width="9.140625" style="202" hidden="1"/>
    <col min="258" max="258" width="2.5703125" style="202" hidden="1"/>
    <col min="259" max="259" width="24.85546875" style="202" hidden="1"/>
    <col min="260" max="260" width="23.42578125" style="202" hidden="1"/>
    <col min="261" max="261" width="12.5703125" style="202" hidden="1"/>
    <col min="262" max="262" width="10.5703125" style="202" hidden="1"/>
    <col min="263" max="263" width="12" style="202" hidden="1"/>
    <col min="264" max="264" width="20.28515625" style="202" hidden="1"/>
    <col min="265" max="513" width="9.140625" style="202" hidden="1"/>
    <col min="514" max="514" width="2.5703125" style="202" hidden="1"/>
    <col min="515" max="515" width="24.85546875" style="202" hidden="1"/>
    <col min="516" max="516" width="23.42578125" style="202" hidden="1"/>
    <col min="517" max="517" width="12.5703125" style="202" hidden="1"/>
    <col min="518" max="518" width="10.5703125" style="202" hidden="1"/>
    <col min="519" max="519" width="12" style="202" hidden="1"/>
    <col min="520" max="520" width="20.28515625" style="202" hidden="1"/>
    <col min="521" max="769" width="9.140625" style="202" hidden="1"/>
    <col min="770" max="770" width="2.5703125" style="202" hidden="1"/>
    <col min="771" max="771" width="24.85546875" style="202" hidden="1"/>
    <col min="772" max="772" width="23.42578125" style="202" hidden="1"/>
    <col min="773" max="773" width="12.5703125" style="202" hidden="1"/>
    <col min="774" max="774" width="10.5703125" style="202" hidden="1"/>
    <col min="775" max="775" width="12" style="202" hidden="1"/>
    <col min="776" max="776" width="20.28515625" style="202" hidden="1"/>
    <col min="777" max="1025" width="9.140625" style="202" hidden="1"/>
    <col min="1026" max="1026" width="2.5703125" style="202" hidden="1"/>
    <col min="1027" max="1027" width="24.85546875" style="202" hidden="1"/>
    <col min="1028" max="1028" width="23.42578125" style="202" hidden="1"/>
    <col min="1029" max="1029" width="12.5703125" style="202" hidden="1"/>
    <col min="1030" max="1030" width="10.5703125" style="202" hidden="1"/>
    <col min="1031" max="1031" width="12" style="202" hidden="1"/>
    <col min="1032" max="1032" width="20.28515625" style="202" hidden="1"/>
    <col min="1033" max="1281" width="9.140625" style="202" hidden="1"/>
    <col min="1282" max="1282" width="2.5703125" style="202" hidden="1"/>
    <col min="1283" max="1283" width="24.85546875" style="202" hidden="1"/>
    <col min="1284" max="1284" width="23.42578125" style="202" hidden="1"/>
    <col min="1285" max="1285" width="12.5703125" style="202" hidden="1"/>
    <col min="1286" max="1286" width="10.5703125" style="202" hidden="1"/>
    <col min="1287" max="1287" width="12" style="202" hidden="1"/>
    <col min="1288" max="1288" width="20.28515625" style="202" hidden="1"/>
    <col min="1289" max="1537" width="9.140625" style="202" hidden="1"/>
    <col min="1538" max="1538" width="2.5703125" style="202" hidden="1"/>
    <col min="1539" max="1539" width="24.85546875" style="202" hidden="1"/>
    <col min="1540" max="1540" width="23.42578125" style="202" hidden="1"/>
    <col min="1541" max="1541" width="12.5703125" style="202" hidden="1"/>
    <col min="1542" max="1542" width="10.5703125" style="202" hidden="1"/>
    <col min="1543" max="1543" width="12" style="202" hidden="1"/>
    <col min="1544" max="1544" width="20.28515625" style="202" hidden="1"/>
    <col min="1545" max="1793" width="9.140625" style="202" hidden="1"/>
    <col min="1794" max="1794" width="2.5703125" style="202" hidden="1"/>
    <col min="1795" max="1795" width="24.85546875" style="202" hidden="1"/>
    <col min="1796" max="1796" width="23.42578125" style="202" hidden="1"/>
    <col min="1797" max="1797" width="12.5703125" style="202" hidden="1"/>
    <col min="1798" max="1798" width="10.5703125" style="202" hidden="1"/>
    <col min="1799" max="1799" width="12" style="202" hidden="1"/>
    <col min="1800" max="1800" width="20.28515625" style="202" hidden="1"/>
    <col min="1801" max="2049" width="9.140625" style="202" hidden="1"/>
    <col min="2050" max="2050" width="2.5703125" style="202" hidden="1"/>
    <col min="2051" max="2051" width="24.85546875" style="202" hidden="1"/>
    <col min="2052" max="2052" width="23.42578125" style="202" hidden="1"/>
    <col min="2053" max="2053" width="12.5703125" style="202" hidden="1"/>
    <col min="2054" max="2054" width="10.5703125" style="202" hidden="1"/>
    <col min="2055" max="2055" width="12" style="202" hidden="1"/>
    <col min="2056" max="2056" width="20.28515625" style="202" hidden="1"/>
    <col min="2057" max="2305" width="9.140625" style="202" hidden="1"/>
    <col min="2306" max="2306" width="2.5703125" style="202" hidden="1"/>
    <col min="2307" max="2307" width="24.85546875" style="202" hidden="1"/>
    <col min="2308" max="2308" width="23.42578125" style="202" hidden="1"/>
    <col min="2309" max="2309" width="12.5703125" style="202" hidden="1"/>
    <col min="2310" max="2310" width="10.5703125" style="202" hidden="1"/>
    <col min="2311" max="2311" width="12" style="202" hidden="1"/>
    <col min="2312" max="2312" width="20.28515625" style="202" hidden="1"/>
    <col min="2313" max="2561" width="9.140625" style="202" hidden="1"/>
    <col min="2562" max="2562" width="2.5703125" style="202" hidden="1"/>
    <col min="2563" max="2563" width="24.85546875" style="202" hidden="1"/>
    <col min="2564" max="2564" width="23.42578125" style="202" hidden="1"/>
    <col min="2565" max="2565" width="12.5703125" style="202" hidden="1"/>
    <col min="2566" max="2566" width="10.5703125" style="202" hidden="1"/>
    <col min="2567" max="2567" width="12" style="202" hidden="1"/>
    <col min="2568" max="2568" width="20.28515625" style="202" hidden="1"/>
    <col min="2569" max="2817" width="9.140625" style="202" hidden="1"/>
    <col min="2818" max="2818" width="2.5703125" style="202" hidden="1"/>
    <col min="2819" max="2819" width="24.85546875" style="202" hidden="1"/>
    <col min="2820" max="2820" width="23.42578125" style="202" hidden="1"/>
    <col min="2821" max="2821" width="12.5703125" style="202" hidden="1"/>
    <col min="2822" max="2822" width="10.5703125" style="202" hidden="1"/>
    <col min="2823" max="2823" width="12" style="202" hidden="1"/>
    <col min="2824" max="2824" width="20.28515625" style="202" hidden="1"/>
    <col min="2825" max="3073" width="9.140625" style="202" hidden="1"/>
    <col min="3074" max="3074" width="2.5703125" style="202" hidden="1"/>
    <col min="3075" max="3075" width="24.85546875" style="202" hidden="1"/>
    <col min="3076" max="3076" width="23.42578125" style="202" hidden="1"/>
    <col min="3077" max="3077" width="12.5703125" style="202" hidden="1"/>
    <col min="3078" max="3078" width="10.5703125" style="202" hidden="1"/>
    <col min="3079" max="3079" width="12" style="202" hidden="1"/>
    <col min="3080" max="3080" width="20.28515625" style="202" hidden="1"/>
    <col min="3081" max="3329" width="9.140625" style="202" hidden="1"/>
    <col min="3330" max="3330" width="2.5703125" style="202" hidden="1"/>
    <col min="3331" max="3331" width="24.85546875" style="202" hidden="1"/>
    <col min="3332" max="3332" width="23.42578125" style="202" hidden="1"/>
    <col min="3333" max="3333" width="12.5703125" style="202" hidden="1"/>
    <col min="3334" max="3334" width="10.5703125" style="202" hidden="1"/>
    <col min="3335" max="3335" width="12" style="202" hidden="1"/>
    <col min="3336" max="3336" width="20.28515625" style="202" hidden="1"/>
    <col min="3337" max="3585" width="9.140625" style="202" hidden="1"/>
    <col min="3586" max="3586" width="2.5703125" style="202" hidden="1"/>
    <col min="3587" max="3587" width="24.85546875" style="202" hidden="1"/>
    <col min="3588" max="3588" width="23.42578125" style="202" hidden="1"/>
    <col min="3589" max="3589" width="12.5703125" style="202" hidden="1"/>
    <col min="3590" max="3590" width="10.5703125" style="202" hidden="1"/>
    <col min="3591" max="3591" width="12" style="202" hidden="1"/>
    <col min="3592" max="3592" width="20.28515625" style="202" hidden="1"/>
    <col min="3593" max="3841" width="9.140625" style="202" hidden="1"/>
    <col min="3842" max="3842" width="2.5703125" style="202" hidden="1"/>
    <col min="3843" max="3843" width="24.85546875" style="202" hidden="1"/>
    <col min="3844" max="3844" width="23.42578125" style="202" hidden="1"/>
    <col min="3845" max="3845" width="12.5703125" style="202" hidden="1"/>
    <col min="3846" max="3846" width="10.5703125" style="202" hidden="1"/>
    <col min="3847" max="3847" width="12" style="202" hidden="1"/>
    <col min="3848" max="3848" width="20.28515625" style="202" hidden="1"/>
    <col min="3849" max="4097" width="9.140625" style="202" hidden="1"/>
    <col min="4098" max="4098" width="2.5703125" style="202" hidden="1"/>
    <col min="4099" max="4099" width="24.85546875" style="202" hidden="1"/>
    <col min="4100" max="4100" width="23.42578125" style="202" hidden="1"/>
    <col min="4101" max="4101" width="12.5703125" style="202" hidden="1"/>
    <col min="4102" max="4102" width="10.5703125" style="202" hidden="1"/>
    <col min="4103" max="4103" width="12" style="202" hidden="1"/>
    <col min="4104" max="4104" width="20.28515625" style="202" hidden="1"/>
    <col min="4105" max="4353" width="9.140625" style="202" hidden="1"/>
    <col min="4354" max="4354" width="2.5703125" style="202" hidden="1"/>
    <col min="4355" max="4355" width="24.85546875" style="202" hidden="1"/>
    <col min="4356" max="4356" width="23.42578125" style="202" hidden="1"/>
    <col min="4357" max="4357" width="12.5703125" style="202" hidden="1"/>
    <col min="4358" max="4358" width="10.5703125" style="202" hidden="1"/>
    <col min="4359" max="4359" width="12" style="202" hidden="1"/>
    <col min="4360" max="4360" width="20.28515625" style="202" hidden="1"/>
    <col min="4361" max="4609" width="9.140625" style="202" hidden="1"/>
    <col min="4610" max="4610" width="2.5703125" style="202" hidden="1"/>
    <col min="4611" max="4611" width="24.85546875" style="202" hidden="1"/>
    <col min="4612" max="4612" width="23.42578125" style="202" hidden="1"/>
    <col min="4613" max="4613" width="12.5703125" style="202" hidden="1"/>
    <col min="4614" max="4614" width="10.5703125" style="202" hidden="1"/>
    <col min="4615" max="4615" width="12" style="202" hidden="1"/>
    <col min="4616" max="4616" width="20.28515625" style="202" hidden="1"/>
    <col min="4617" max="4865" width="9.140625" style="202" hidden="1"/>
    <col min="4866" max="4866" width="2.5703125" style="202" hidden="1"/>
    <col min="4867" max="4867" width="24.85546875" style="202" hidden="1"/>
    <col min="4868" max="4868" width="23.42578125" style="202" hidden="1"/>
    <col min="4869" max="4869" width="12.5703125" style="202" hidden="1"/>
    <col min="4870" max="4870" width="10.5703125" style="202" hidden="1"/>
    <col min="4871" max="4871" width="12" style="202" hidden="1"/>
    <col min="4872" max="4872" width="20.28515625" style="202" hidden="1"/>
    <col min="4873" max="5121" width="9.140625" style="202" hidden="1"/>
    <col min="5122" max="5122" width="2.5703125" style="202" hidden="1"/>
    <col min="5123" max="5123" width="24.85546875" style="202" hidden="1"/>
    <col min="5124" max="5124" width="23.42578125" style="202" hidden="1"/>
    <col min="5125" max="5125" width="12.5703125" style="202" hidden="1"/>
    <col min="5126" max="5126" width="10.5703125" style="202" hidden="1"/>
    <col min="5127" max="5127" width="12" style="202" hidden="1"/>
    <col min="5128" max="5128" width="20.28515625" style="202" hidden="1"/>
    <col min="5129" max="5377" width="9.140625" style="202" hidden="1"/>
    <col min="5378" max="5378" width="2.5703125" style="202" hidden="1"/>
    <col min="5379" max="5379" width="24.85546875" style="202" hidden="1"/>
    <col min="5380" max="5380" width="23.42578125" style="202" hidden="1"/>
    <col min="5381" max="5381" width="12.5703125" style="202" hidden="1"/>
    <col min="5382" max="5382" width="10.5703125" style="202" hidden="1"/>
    <col min="5383" max="5383" width="12" style="202" hidden="1"/>
    <col min="5384" max="5384" width="20.28515625" style="202" hidden="1"/>
    <col min="5385" max="5633" width="9.140625" style="202" hidden="1"/>
    <col min="5634" max="5634" width="2.5703125" style="202" hidden="1"/>
    <col min="5635" max="5635" width="24.85546875" style="202" hidden="1"/>
    <col min="5636" max="5636" width="23.42578125" style="202" hidden="1"/>
    <col min="5637" max="5637" width="12.5703125" style="202" hidden="1"/>
    <col min="5638" max="5638" width="10.5703125" style="202" hidden="1"/>
    <col min="5639" max="5639" width="12" style="202" hidden="1"/>
    <col min="5640" max="5640" width="20.28515625" style="202" hidden="1"/>
    <col min="5641" max="5889" width="9.140625" style="202" hidden="1"/>
    <col min="5890" max="5890" width="2.5703125" style="202" hidden="1"/>
    <col min="5891" max="5891" width="24.85546875" style="202" hidden="1"/>
    <col min="5892" max="5892" width="23.42578125" style="202" hidden="1"/>
    <col min="5893" max="5893" width="12.5703125" style="202" hidden="1"/>
    <col min="5894" max="5894" width="10.5703125" style="202" hidden="1"/>
    <col min="5895" max="5895" width="12" style="202" hidden="1"/>
    <col min="5896" max="5896" width="20.28515625" style="202" hidden="1"/>
    <col min="5897" max="6145" width="9.140625" style="202" hidden="1"/>
    <col min="6146" max="6146" width="2.5703125" style="202" hidden="1"/>
    <col min="6147" max="6147" width="24.85546875" style="202" hidden="1"/>
    <col min="6148" max="6148" width="23.42578125" style="202" hidden="1"/>
    <col min="6149" max="6149" width="12.5703125" style="202" hidden="1"/>
    <col min="6150" max="6150" width="10.5703125" style="202" hidden="1"/>
    <col min="6151" max="6151" width="12" style="202" hidden="1"/>
    <col min="6152" max="6152" width="20.28515625" style="202" hidden="1"/>
    <col min="6153" max="6401" width="9.140625" style="202" hidden="1"/>
    <col min="6402" max="6402" width="2.5703125" style="202" hidden="1"/>
    <col min="6403" max="6403" width="24.85546875" style="202" hidden="1"/>
    <col min="6404" max="6404" width="23.42578125" style="202" hidden="1"/>
    <col min="6405" max="6405" width="12.5703125" style="202" hidden="1"/>
    <col min="6406" max="6406" width="10.5703125" style="202" hidden="1"/>
    <col min="6407" max="6407" width="12" style="202" hidden="1"/>
    <col min="6408" max="6408" width="20.28515625" style="202" hidden="1"/>
    <col min="6409" max="6657" width="9.140625" style="202" hidden="1"/>
    <col min="6658" max="6658" width="2.5703125" style="202" hidden="1"/>
    <col min="6659" max="6659" width="24.85546875" style="202" hidden="1"/>
    <col min="6660" max="6660" width="23.42578125" style="202" hidden="1"/>
    <col min="6661" max="6661" width="12.5703125" style="202" hidden="1"/>
    <col min="6662" max="6662" width="10.5703125" style="202" hidden="1"/>
    <col min="6663" max="6663" width="12" style="202" hidden="1"/>
    <col min="6664" max="6664" width="20.28515625" style="202" hidden="1"/>
    <col min="6665" max="6913" width="9.140625" style="202" hidden="1"/>
    <col min="6914" max="6914" width="2.5703125" style="202" hidden="1"/>
    <col min="6915" max="6915" width="24.85546875" style="202" hidden="1"/>
    <col min="6916" max="6916" width="23.42578125" style="202" hidden="1"/>
    <col min="6917" max="6917" width="12.5703125" style="202" hidden="1"/>
    <col min="6918" max="6918" width="10.5703125" style="202" hidden="1"/>
    <col min="6919" max="6919" width="12" style="202" hidden="1"/>
    <col min="6920" max="6920" width="20.28515625" style="202" hidden="1"/>
    <col min="6921" max="7169" width="9.140625" style="202" hidden="1"/>
    <col min="7170" max="7170" width="2.5703125" style="202" hidden="1"/>
    <col min="7171" max="7171" width="24.85546875" style="202" hidden="1"/>
    <col min="7172" max="7172" width="23.42578125" style="202" hidden="1"/>
    <col min="7173" max="7173" width="12.5703125" style="202" hidden="1"/>
    <col min="7174" max="7174" width="10.5703125" style="202" hidden="1"/>
    <col min="7175" max="7175" width="12" style="202" hidden="1"/>
    <col min="7176" max="7176" width="20.28515625" style="202" hidden="1"/>
    <col min="7177" max="7425" width="9.140625" style="202" hidden="1"/>
    <col min="7426" max="7426" width="2.5703125" style="202" hidden="1"/>
    <col min="7427" max="7427" width="24.85546875" style="202" hidden="1"/>
    <col min="7428" max="7428" width="23.42578125" style="202" hidden="1"/>
    <col min="7429" max="7429" width="12.5703125" style="202" hidden="1"/>
    <col min="7430" max="7430" width="10.5703125" style="202" hidden="1"/>
    <col min="7431" max="7431" width="12" style="202" hidden="1"/>
    <col min="7432" max="7432" width="20.28515625" style="202" hidden="1"/>
    <col min="7433" max="7681" width="9.140625" style="202" hidden="1"/>
    <col min="7682" max="7682" width="2.5703125" style="202" hidden="1"/>
    <col min="7683" max="7683" width="24.85546875" style="202" hidden="1"/>
    <col min="7684" max="7684" width="23.42578125" style="202" hidden="1"/>
    <col min="7685" max="7685" width="12.5703125" style="202" hidden="1"/>
    <col min="7686" max="7686" width="10.5703125" style="202" hidden="1"/>
    <col min="7687" max="7687" width="12" style="202" hidden="1"/>
    <col min="7688" max="7688" width="20.28515625" style="202" hidden="1"/>
    <col min="7689" max="7937" width="9.140625" style="202" hidden="1"/>
    <col min="7938" max="7938" width="2.5703125" style="202" hidden="1"/>
    <col min="7939" max="7939" width="24.85546875" style="202" hidden="1"/>
    <col min="7940" max="7940" width="23.42578125" style="202" hidden="1"/>
    <col min="7941" max="7941" width="12.5703125" style="202" hidden="1"/>
    <col min="7942" max="7942" width="10.5703125" style="202" hidden="1"/>
    <col min="7943" max="7943" width="12" style="202" hidden="1"/>
    <col min="7944" max="7944" width="20.28515625" style="202" hidden="1"/>
    <col min="7945" max="8193" width="9.140625" style="202" hidden="1"/>
    <col min="8194" max="8194" width="2.5703125" style="202" hidden="1"/>
    <col min="8195" max="8195" width="24.85546875" style="202" hidden="1"/>
    <col min="8196" max="8196" width="23.42578125" style="202" hidden="1"/>
    <col min="8197" max="8197" width="12.5703125" style="202" hidden="1"/>
    <col min="8198" max="8198" width="10.5703125" style="202" hidden="1"/>
    <col min="8199" max="8199" width="12" style="202" hidden="1"/>
    <col min="8200" max="8200" width="20.28515625" style="202" hidden="1"/>
    <col min="8201" max="8449" width="9.140625" style="202" hidden="1"/>
    <col min="8450" max="8450" width="2.5703125" style="202" hidden="1"/>
    <col min="8451" max="8451" width="24.85546875" style="202" hidden="1"/>
    <col min="8452" max="8452" width="23.42578125" style="202" hidden="1"/>
    <col min="8453" max="8453" width="12.5703125" style="202" hidden="1"/>
    <col min="8454" max="8454" width="10.5703125" style="202" hidden="1"/>
    <col min="8455" max="8455" width="12" style="202" hidden="1"/>
    <col min="8456" max="8456" width="20.28515625" style="202" hidden="1"/>
    <col min="8457" max="8705" width="9.140625" style="202" hidden="1"/>
    <col min="8706" max="8706" width="2.5703125" style="202" hidden="1"/>
    <col min="8707" max="8707" width="24.85546875" style="202" hidden="1"/>
    <col min="8708" max="8708" width="23.42578125" style="202" hidden="1"/>
    <col min="8709" max="8709" width="12.5703125" style="202" hidden="1"/>
    <col min="8710" max="8710" width="10.5703125" style="202" hidden="1"/>
    <col min="8711" max="8711" width="12" style="202" hidden="1"/>
    <col min="8712" max="8712" width="20.28515625" style="202" hidden="1"/>
    <col min="8713" max="8961" width="9.140625" style="202" hidden="1"/>
    <col min="8962" max="8962" width="2.5703125" style="202" hidden="1"/>
    <col min="8963" max="8963" width="24.85546875" style="202" hidden="1"/>
    <col min="8964" max="8964" width="23.42578125" style="202" hidden="1"/>
    <col min="8965" max="8965" width="12.5703125" style="202" hidden="1"/>
    <col min="8966" max="8966" width="10.5703125" style="202" hidden="1"/>
    <col min="8967" max="8967" width="12" style="202" hidden="1"/>
    <col min="8968" max="8968" width="20.28515625" style="202" hidden="1"/>
    <col min="8969" max="9217" width="9.140625" style="202" hidden="1"/>
    <col min="9218" max="9218" width="2.5703125" style="202" hidden="1"/>
    <col min="9219" max="9219" width="24.85546875" style="202" hidden="1"/>
    <col min="9220" max="9220" width="23.42578125" style="202" hidden="1"/>
    <col min="9221" max="9221" width="12.5703125" style="202" hidden="1"/>
    <col min="9222" max="9222" width="10.5703125" style="202" hidden="1"/>
    <col min="9223" max="9223" width="12" style="202" hidden="1"/>
    <col min="9224" max="9224" width="20.28515625" style="202" hidden="1"/>
    <col min="9225" max="9473" width="9.140625" style="202" hidden="1"/>
    <col min="9474" max="9474" width="2.5703125" style="202" hidden="1"/>
    <col min="9475" max="9475" width="24.85546875" style="202" hidden="1"/>
    <col min="9476" max="9476" width="23.42578125" style="202" hidden="1"/>
    <col min="9477" max="9477" width="12.5703125" style="202" hidden="1"/>
    <col min="9478" max="9478" width="10.5703125" style="202" hidden="1"/>
    <col min="9479" max="9479" width="12" style="202" hidden="1"/>
    <col min="9480" max="9480" width="20.28515625" style="202" hidden="1"/>
    <col min="9481" max="9729" width="9.140625" style="202" hidden="1"/>
    <col min="9730" max="9730" width="2.5703125" style="202" hidden="1"/>
    <col min="9731" max="9731" width="24.85546875" style="202" hidden="1"/>
    <col min="9732" max="9732" width="23.42578125" style="202" hidden="1"/>
    <col min="9733" max="9733" width="12.5703125" style="202" hidden="1"/>
    <col min="9734" max="9734" width="10.5703125" style="202" hidden="1"/>
    <col min="9735" max="9735" width="12" style="202" hidden="1"/>
    <col min="9736" max="9736" width="20.28515625" style="202" hidden="1"/>
    <col min="9737" max="9985" width="9.140625" style="202" hidden="1"/>
    <col min="9986" max="9986" width="2.5703125" style="202" hidden="1"/>
    <col min="9987" max="9987" width="24.85546875" style="202" hidden="1"/>
    <col min="9988" max="9988" width="23.42578125" style="202" hidden="1"/>
    <col min="9989" max="9989" width="12.5703125" style="202" hidden="1"/>
    <col min="9990" max="9990" width="10.5703125" style="202" hidden="1"/>
    <col min="9991" max="9991" width="12" style="202" hidden="1"/>
    <col min="9992" max="9992" width="20.28515625" style="202" hidden="1"/>
    <col min="9993" max="10241" width="9.140625" style="202" hidden="1"/>
    <col min="10242" max="10242" width="2.5703125" style="202" hidden="1"/>
    <col min="10243" max="10243" width="24.85546875" style="202" hidden="1"/>
    <col min="10244" max="10244" width="23.42578125" style="202" hidden="1"/>
    <col min="10245" max="10245" width="12.5703125" style="202" hidden="1"/>
    <col min="10246" max="10246" width="10.5703125" style="202" hidden="1"/>
    <col min="10247" max="10247" width="12" style="202" hidden="1"/>
    <col min="10248" max="10248" width="20.28515625" style="202" hidden="1"/>
    <col min="10249" max="10497" width="9.140625" style="202" hidden="1"/>
    <col min="10498" max="10498" width="2.5703125" style="202" hidden="1"/>
    <col min="10499" max="10499" width="24.85546875" style="202" hidden="1"/>
    <col min="10500" max="10500" width="23.42578125" style="202" hidden="1"/>
    <col min="10501" max="10501" width="12.5703125" style="202" hidden="1"/>
    <col min="10502" max="10502" width="10.5703125" style="202" hidden="1"/>
    <col min="10503" max="10503" width="12" style="202" hidden="1"/>
    <col min="10504" max="10504" width="20.28515625" style="202" hidden="1"/>
    <col min="10505" max="10753" width="9.140625" style="202" hidden="1"/>
    <col min="10754" max="10754" width="2.5703125" style="202" hidden="1"/>
    <col min="10755" max="10755" width="24.85546875" style="202" hidden="1"/>
    <col min="10756" max="10756" width="23.42578125" style="202" hidden="1"/>
    <col min="10757" max="10757" width="12.5703125" style="202" hidden="1"/>
    <col min="10758" max="10758" width="10.5703125" style="202" hidden="1"/>
    <col min="10759" max="10759" width="12" style="202" hidden="1"/>
    <col min="10760" max="10760" width="20.28515625" style="202" hidden="1"/>
    <col min="10761" max="11009" width="9.140625" style="202" hidden="1"/>
    <col min="11010" max="11010" width="2.5703125" style="202" hidden="1"/>
    <col min="11011" max="11011" width="24.85546875" style="202" hidden="1"/>
    <col min="11012" max="11012" width="23.42578125" style="202" hidden="1"/>
    <col min="11013" max="11013" width="12.5703125" style="202" hidden="1"/>
    <col min="11014" max="11014" width="10.5703125" style="202" hidden="1"/>
    <col min="11015" max="11015" width="12" style="202" hidden="1"/>
    <col min="11016" max="11016" width="20.28515625" style="202" hidden="1"/>
    <col min="11017" max="11265" width="9.140625" style="202" hidden="1"/>
    <col min="11266" max="11266" width="2.5703125" style="202" hidden="1"/>
    <col min="11267" max="11267" width="24.85546875" style="202" hidden="1"/>
    <col min="11268" max="11268" width="23.42578125" style="202" hidden="1"/>
    <col min="11269" max="11269" width="12.5703125" style="202" hidden="1"/>
    <col min="11270" max="11270" width="10.5703125" style="202" hidden="1"/>
    <col min="11271" max="11271" width="12" style="202" hidden="1"/>
    <col min="11272" max="11272" width="20.28515625" style="202" hidden="1"/>
    <col min="11273" max="11521" width="9.140625" style="202" hidden="1"/>
    <col min="11522" max="11522" width="2.5703125" style="202" hidden="1"/>
    <col min="11523" max="11523" width="24.85546875" style="202" hidden="1"/>
    <col min="11524" max="11524" width="23.42578125" style="202" hidden="1"/>
    <col min="11525" max="11525" width="12.5703125" style="202" hidden="1"/>
    <col min="11526" max="11526" width="10.5703125" style="202" hidden="1"/>
    <col min="11527" max="11527" width="12" style="202" hidden="1"/>
    <col min="11528" max="11528" width="20.28515625" style="202" hidden="1"/>
    <col min="11529" max="11777" width="9.140625" style="202" hidden="1"/>
    <col min="11778" max="11778" width="2.5703125" style="202" hidden="1"/>
    <col min="11779" max="11779" width="24.85546875" style="202" hidden="1"/>
    <col min="11780" max="11780" width="23.42578125" style="202" hidden="1"/>
    <col min="11781" max="11781" width="12.5703125" style="202" hidden="1"/>
    <col min="11782" max="11782" width="10.5703125" style="202" hidden="1"/>
    <col min="11783" max="11783" width="12" style="202" hidden="1"/>
    <col min="11784" max="11784" width="20.28515625" style="202" hidden="1"/>
    <col min="11785" max="12033" width="9.140625" style="202" hidden="1"/>
    <col min="12034" max="12034" width="2.5703125" style="202" hidden="1"/>
    <col min="12035" max="12035" width="24.85546875" style="202" hidden="1"/>
    <col min="12036" max="12036" width="23.42578125" style="202" hidden="1"/>
    <col min="12037" max="12037" width="12.5703125" style="202" hidden="1"/>
    <col min="12038" max="12038" width="10.5703125" style="202" hidden="1"/>
    <col min="12039" max="12039" width="12" style="202" hidden="1"/>
    <col min="12040" max="12040" width="20.28515625" style="202" hidden="1"/>
    <col min="12041" max="12289" width="9.140625" style="202" hidden="1"/>
    <col min="12290" max="12290" width="2.5703125" style="202" hidden="1"/>
    <col min="12291" max="12291" width="24.85546875" style="202" hidden="1"/>
    <col min="12292" max="12292" width="23.42578125" style="202" hidden="1"/>
    <col min="12293" max="12293" width="12.5703125" style="202" hidden="1"/>
    <col min="12294" max="12294" width="10.5703125" style="202" hidden="1"/>
    <col min="12295" max="12295" width="12" style="202" hidden="1"/>
    <col min="12296" max="12296" width="20.28515625" style="202" hidden="1"/>
    <col min="12297" max="12545" width="9.140625" style="202" hidden="1"/>
    <col min="12546" max="12546" width="2.5703125" style="202" hidden="1"/>
    <col min="12547" max="12547" width="24.85546875" style="202" hidden="1"/>
    <col min="12548" max="12548" width="23.42578125" style="202" hidden="1"/>
    <col min="12549" max="12549" width="12.5703125" style="202" hidden="1"/>
    <col min="12550" max="12550" width="10.5703125" style="202" hidden="1"/>
    <col min="12551" max="12551" width="12" style="202" hidden="1"/>
    <col min="12552" max="12552" width="20.28515625" style="202" hidden="1"/>
    <col min="12553" max="12801" width="9.140625" style="202" hidden="1"/>
    <col min="12802" max="12802" width="2.5703125" style="202" hidden="1"/>
    <col min="12803" max="12803" width="24.85546875" style="202" hidden="1"/>
    <col min="12804" max="12804" width="23.42578125" style="202" hidden="1"/>
    <col min="12805" max="12805" width="12.5703125" style="202" hidden="1"/>
    <col min="12806" max="12806" width="10.5703125" style="202" hidden="1"/>
    <col min="12807" max="12807" width="12" style="202" hidden="1"/>
    <col min="12808" max="12808" width="20.28515625" style="202" hidden="1"/>
    <col min="12809" max="13057" width="9.140625" style="202" hidden="1"/>
    <col min="13058" max="13058" width="2.5703125" style="202" hidden="1"/>
    <col min="13059" max="13059" width="24.85546875" style="202" hidden="1"/>
    <col min="13060" max="13060" width="23.42578125" style="202" hidden="1"/>
    <col min="13061" max="13061" width="12.5703125" style="202" hidden="1"/>
    <col min="13062" max="13062" width="10.5703125" style="202" hidden="1"/>
    <col min="13063" max="13063" width="12" style="202" hidden="1"/>
    <col min="13064" max="13064" width="20.28515625" style="202" hidden="1"/>
    <col min="13065" max="13313" width="9.140625" style="202" hidden="1"/>
    <col min="13314" max="13314" width="2.5703125" style="202" hidden="1"/>
    <col min="13315" max="13315" width="24.85546875" style="202" hidden="1"/>
    <col min="13316" max="13316" width="23.42578125" style="202" hidden="1"/>
    <col min="13317" max="13317" width="12.5703125" style="202" hidden="1"/>
    <col min="13318" max="13318" width="10.5703125" style="202" hidden="1"/>
    <col min="13319" max="13319" width="12" style="202" hidden="1"/>
    <col min="13320" max="13320" width="20.28515625" style="202" hidden="1"/>
    <col min="13321" max="13569" width="9.140625" style="202" hidden="1"/>
    <col min="13570" max="13570" width="2.5703125" style="202" hidden="1"/>
    <col min="13571" max="13571" width="24.85546875" style="202" hidden="1"/>
    <col min="13572" max="13572" width="23.42578125" style="202" hidden="1"/>
    <col min="13573" max="13573" width="12.5703125" style="202" hidden="1"/>
    <col min="13574" max="13574" width="10.5703125" style="202" hidden="1"/>
    <col min="13575" max="13575" width="12" style="202" hidden="1"/>
    <col min="13576" max="13576" width="20.28515625" style="202" hidden="1"/>
    <col min="13577" max="13825" width="9.140625" style="202" hidden="1"/>
    <col min="13826" max="13826" width="2.5703125" style="202" hidden="1"/>
    <col min="13827" max="13827" width="24.85546875" style="202" hidden="1"/>
    <col min="13828" max="13828" width="23.42578125" style="202" hidden="1"/>
    <col min="13829" max="13829" width="12.5703125" style="202" hidden="1"/>
    <col min="13830" max="13830" width="10.5703125" style="202" hidden="1"/>
    <col min="13831" max="13831" width="12" style="202" hidden="1"/>
    <col min="13832" max="13832" width="20.28515625" style="202" hidden="1"/>
    <col min="13833" max="14081" width="9.140625" style="202" hidden="1"/>
    <col min="14082" max="14082" width="2.5703125" style="202" hidden="1"/>
    <col min="14083" max="14083" width="24.85546875" style="202" hidden="1"/>
    <col min="14084" max="14084" width="23.42578125" style="202" hidden="1"/>
    <col min="14085" max="14085" width="12.5703125" style="202" hidden="1"/>
    <col min="14086" max="14086" width="10.5703125" style="202" hidden="1"/>
    <col min="14087" max="14087" width="12" style="202" hidden="1"/>
    <col min="14088" max="14088" width="20.28515625" style="202" hidden="1"/>
    <col min="14089" max="14337" width="9.140625" style="202" hidden="1"/>
    <col min="14338" max="14338" width="2.5703125" style="202" hidden="1"/>
    <col min="14339" max="14339" width="24.85546875" style="202" hidden="1"/>
    <col min="14340" max="14340" width="23.42578125" style="202" hidden="1"/>
    <col min="14341" max="14341" width="12.5703125" style="202" hidden="1"/>
    <col min="14342" max="14342" width="10.5703125" style="202" hidden="1"/>
    <col min="14343" max="14343" width="12" style="202" hidden="1"/>
    <col min="14344" max="14344" width="20.28515625" style="202" hidden="1"/>
    <col min="14345" max="14593" width="9.140625" style="202" hidden="1"/>
    <col min="14594" max="14594" width="2.5703125" style="202" hidden="1"/>
    <col min="14595" max="14595" width="24.85546875" style="202" hidden="1"/>
    <col min="14596" max="14596" width="23.42578125" style="202" hidden="1"/>
    <col min="14597" max="14597" width="12.5703125" style="202" hidden="1"/>
    <col min="14598" max="14598" width="10.5703125" style="202" hidden="1"/>
    <col min="14599" max="14599" width="12" style="202" hidden="1"/>
    <col min="14600" max="14600" width="20.28515625" style="202" hidden="1"/>
    <col min="14601" max="14849" width="9.140625" style="202" hidden="1"/>
    <col min="14850" max="14850" width="2.5703125" style="202" hidden="1"/>
    <col min="14851" max="14851" width="24.85546875" style="202" hidden="1"/>
    <col min="14852" max="14852" width="23.42578125" style="202" hidden="1"/>
    <col min="14853" max="14853" width="12.5703125" style="202" hidden="1"/>
    <col min="14854" max="14854" width="10.5703125" style="202" hidden="1"/>
    <col min="14855" max="14855" width="12" style="202" hidden="1"/>
    <col min="14856" max="14856" width="20.28515625" style="202" hidden="1"/>
    <col min="14857" max="15105" width="9.140625" style="202" hidden="1"/>
    <col min="15106" max="15106" width="2.5703125" style="202" hidden="1"/>
    <col min="15107" max="15107" width="24.85546875" style="202" hidden="1"/>
    <col min="15108" max="15108" width="23.42578125" style="202" hidden="1"/>
    <col min="15109" max="15109" width="12.5703125" style="202" hidden="1"/>
    <col min="15110" max="15110" width="10.5703125" style="202" hidden="1"/>
    <col min="15111" max="15111" width="12" style="202" hidden="1"/>
    <col min="15112" max="15112" width="20.28515625" style="202" hidden="1"/>
    <col min="15113" max="15361" width="9.140625" style="202" hidden="1"/>
    <col min="15362" max="15362" width="2.5703125" style="202" hidden="1"/>
    <col min="15363" max="15363" width="24.85546875" style="202" hidden="1"/>
    <col min="15364" max="15364" width="23.42578125" style="202" hidden="1"/>
    <col min="15365" max="15365" width="12.5703125" style="202" hidden="1"/>
    <col min="15366" max="15366" width="10.5703125" style="202" hidden="1"/>
    <col min="15367" max="15367" width="12" style="202" hidden="1"/>
    <col min="15368" max="15368" width="20.28515625" style="202" hidden="1"/>
    <col min="15369" max="15617" width="9.140625" style="202" hidden="1"/>
    <col min="15618" max="15618" width="2.5703125" style="202" hidden="1"/>
    <col min="15619" max="15619" width="24.85546875" style="202" hidden="1"/>
    <col min="15620" max="15620" width="23.42578125" style="202" hidden="1"/>
    <col min="15621" max="15621" width="12.5703125" style="202" hidden="1"/>
    <col min="15622" max="15622" width="10.5703125" style="202" hidden="1"/>
    <col min="15623" max="15623" width="12" style="202" hidden="1"/>
    <col min="15624" max="15624" width="20.28515625" style="202" hidden="1"/>
    <col min="15625" max="15873" width="9.140625" style="202" hidden="1"/>
    <col min="15874" max="15874" width="2.5703125" style="202" hidden="1"/>
    <col min="15875" max="15875" width="24.85546875" style="202" hidden="1"/>
    <col min="15876" max="15876" width="23.42578125" style="202" hidden="1"/>
    <col min="15877" max="15877" width="12.5703125" style="202" hidden="1"/>
    <col min="15878" max="15878" width="10.5703125" style="202" hidden="1"/>
    <col min="15879" max="15879" width="12" style="202" hidden="1"/>
    <col min="15880" max="15880" width="20.28515625" style="202" hidden="1"/>
    <col min="15881" max="16129" width="9.140625" style="202" hidden="1"/>
    <col min="16130" max="16130" width="2.5703125" style="202" hidden="1"/>
    <col min="16131" max="16131" width="24.85546875" style="202" hidden="1"/>
    <col min="16132" max="16132" width="23.42578125" style="202" hidden="1"/>
    <col min="16133" max="16133" width="12.5703125" style="202" hidden="1"/>
    <col min="16134" max="16134" width="10.5703125" style="202" hidden="1"/>
    <col min="16135" max="16135" width="12" style="202" hidden="1"/>
    <col min="16136" max="16136" width="20.28515625" style="202" hidden="1"/>
    <col min="16137" max="16384" width="0" style="202" hidden="1"/>
  </cols>
  <sheetData>
    <row r="1" spans="1:8" x14ac:dyDescent="0.2">
      <c r="C1" s="203"/>
      <c r="D1" s="204" t="s">
        <v>421</v>
      </c>
    </row>
    <row r="2" spans="1:8" x14ac:dyDescent="0.2">
      <c r="C2" s="205" t="s">
        <v>422</v>
      </c>
      <c r="D2" s="206"/>
    </row>
    <row r="3" spans="1:8" x14ac:dyDescent="0.2">
      <c r="C3" s="207"/>
      <c r="D3" s="205" t="s">
        <v>423</v>
      </c>
    </row>
    <row r="4" spans="1:8" x14ac:dyDescent="0.2"/>
    <row r="5" spans="1:8" ht="25.5" customHeight="1" x14ac:dyDescent="0.2">
      <c r="A5" s="208">
        <v>1</v>
      </c>
      <c r="B5" s="209" t="s">
        <v>424</v>
      </c>
      <c r="C5" s="210"/>
      <c r="D5" s="211" t="str">
        <f>UPPER(IF(E_Name=0," ",E_Name))</f>
        <v xml:space="preserve">  </v>
      </c>
      <c r="E5" s="212"/>
      <c r="F5" s="212"/>
      <c r="G5" s="210"/>
      <c r="H5" s="516"/>
    </row>
    <row r="6" spans="1:8" ht="25.5" customHeight="1" x14ac:dyDescent="0.2">
      <c r="A6" s="208">
        <v>2</v>
      </c>
      <c r="B6" s="213" t="s">
        <v>425</v>
      </c>
      <c r="C6" s="214"/>
      <c r="D6" s="211" t="str">
        <f>UPPER(IF('Personal Information'!D16=0," ",'Personal Information'!D16))</f>
        <v xml:space="preserve"> </v>
      </c>
      <c r="E6" s="212"/>
      <c r="F6" s="212"/>
      <c r="G6" s="210"/>
      <c r="H6" s="516"/>
    </row>
    <row r="7" spans="1:8" ht="18" customHeight="1" x14ac:dyDescent="0.2">
      <c r="A7" s="208">
        <v>3</v>
      </c>
      <c r="B7" s="213" t="s">
        <v>8</v>
      </c>
      <c r="C7" s="214"/>
      <c r="D7" s="241" t="str">
        <f>IF(DOB=0," ",DOB)</f>
        <v xml:space="preserve"> </v>
      </c>
      <c r="G7" s="214"/>
      <c r="H7" s="517"/>
    </row>
    <row r="8" spans="1:8" ht="18" customHeight="1" x14ac:dyDescent="0.2">
      <c r="A8" s="208">
        <v>4</v>
      </c>
      <c r="B8" s="213" t="s">
        <v>334</v>
      </c>
      <c r="C8" s="214"/>
      <c r="D8" s="240" t="str">
        <f>IF(Sex=0," ",Sex)</f>
        <v xml:space="preserve"> </v>
      </c>
      <c r="E8" s="213"/>
      <c r="F8" s="213"/>
      <c r="G8" s="214"/>
      <c r="H8" s="517"/>
    </row>
    <row r="9" spans="1:8" ht="18" customHeight="1" x14ac:dyDescent="0.2">
      <c r="A9" s="208">
        <v>5</v>
      </c>
      <c r="B9" s="213" t="s">
        <v>426</v>
      </c>
      <c r="C9" s="214"/>
      <c r="D9" s="240" t="str">
        <f>IF(M_Status=0," ",M_Status)</f>
        <v xml:space="preserve"> </v>
      </c>
      <c r="E9" s="213"/>
      <c r="F9" s="213"/>
      <c r="G9" s="214"/>
      <c r="H9" s="517"/>
    </row>
    <row r="10" spans="1:8" ht="18" customHeight="1" x14ac:dyDescent="0.2">
      <c r="A10" s="208">
        <v>6</v>
      </c>
      <c r="B10" s="213" t="s">
        <v>337</v>
      </c>
      <c r="C10" s="214"/>
      <c r="D10" s="995" t="str">
        <f>IF(('Personal Information'!$H$43&amp;'Personal Information'!$H$44&amp;'Personal Information'!$H$45)=0,"",'Personal Information'!$H$43&amp;" "&amp;'Personal Information'!$H$44)</f>
        <v xml:space="preserve"> </v>
      </c>
      <c r="E10" s="996"/>
      <c r="F10" s="996"/>
      <c r="G10" s="997"/>
      <c r="H10" s="518"/>
    </row>
    <row r="11" spans="1:8" ht="18" customHeight="1" x14ac:dyDescent="0.2">
      <c r="A11" s="208"/>
      <c r="B11" s="213"/>
      <c r="C11" s="214"/>
      <c r="D11" s="995" t="str">
        <f>IF('Personal Information'!$H$45=0,"",'Personal Information'!$H$45&amp;", "&amp;'Personal Information'!$H$46&amp;" - "&amp;'Personal Information'!$H$48&amp;", "&amp;'Personal Information'!$H$47)</f>
        <v/>
      </c>
      <c r="E11" s="996"/>
      <c r="F11" s="996"/>
      <c r="G11" s="997"/>
      <c r="H11" s="518"/>
    </row>
    <row r="12" spans="1:8" ht="18" customHeight="1" x14ac:dyDescent="0.2">
      <c r="A12" s="208">
        <v>7</v>
      </c>
      <c r="B12" s="213" t="s">
        <v>427</v>
      </c>
      <c r="C12" s="214"/>
      <c r="D12" s="995" t="str">
        <f>IF(('Personal Information'!$D$43&amp;'Personal Information'!$D$44&amp;'Personal Information'!$D$45)=0,"",'Personal Information'!$D$43&amp;" "&amp;'Personal Information'!$D$44)</f>
        <v xml:space="preserve"> </v>
      </c>
      <c r="E12" s="996"/>
      <c r="F12" s="996"/>
      <c r="G12" s="997"/>
      <c r="H12" s="518"/>
    </row>
    <row r="13" spans="1:8" ht="18" customHeight="1" x14ac:dyDescent="0.2">
      <c r="A13" s="208"/>
      <c r="B13" s="213"/>
      <c r="C13" s="214"/>
      <c r="D13" s="995" t="str">
        <f>IF('Personal Information'!$D$45=0,"",'Personal Information'!$D$45&amp;", "&amp;'Personal Information'!$D$46&amp;" - "&amp;'Personal Information'!$D$48&amp;", "&amp;'Personal Information'!$D$47)</f>
        <v/>
      </c>
      <c r="E13" s="996"/>
      <c r="F13" s="996"/>
      <c r="G13" s="997"/>
      <c r="H13" s="518"/>
    </row>
    <row r="14" spans="1:8" x14ac:dyDescent="0.2"/>
    <row r="15" spans="1:8" ht="30.75" customHeight="1" x14ac:dyDescent="0.2">
      <c r="A15" s="998" t="s">
        <v>428</v>
      </c>
      <c r="B15" s="998"/>
      <c r="C15" s="998"/>
      <c r="D15" s="998"/>
      <c r="E15" s="998"/>
      <c r="F15" s="998"/>
      <c r="G15" s="998"/>
      <c r="H15" s="515"/>
    </row>
    <row r="16" spans="1:8" x14ac:dyDescent="0.2"/>
    <row r="17" spans="1:15" ht="72" x14ac:dyDescent="0.2">
      <c r="B17" s="215" t="s">
        <v>429</v>
      </c>
      <c r="C17" s="216" t="s">
        <v>283</v>
      </c>
      <c r="D17" s="215" t="s">
        <v>430</v>
      </c>
      <c r="E17" s="216" t="s">
        <v>8</v>
      </c>
      <c r="F17" s="217" t="s">
        <v>431</v>
      </c>
      <c r="G17" s="218" t="s">
        <v>432</v>
      </c>
      <c r="H17" s="519"/>
    </row>
    <row r="18" spans="1:15" x14ac:dyDescent="0.2">
      <c r="B18" s="219" t="s">
        <v>433</v>
      </c>
      <c r="C18" s="219" t="s">
        <v>434</v>
      </c>
      <c r="D18" s="219" t="s">
        <v>435</v>
      </c>
      <c r="E18" s="219" t="s">
        <v>436</v>
      </c>
      <c r="F18" s="219" t="s">
        <v>437</v>
      </c>
      <c r="G18" s="219" t="s">
        <v>438</v>
      </c>
      <c r="H18" s="520"/>
    </row>
    <row r="19" spans="1:15" ht="80.099999999999994" customHeight="1" x14ac:dyDescent="0.2">
      <c r="B19" s="331" t="str">
        <f>IF('Personal Information'!$B$128=0,"",'Personal Information'!$B$128)</f>
        <v/>
      </c>
      <c r="C19" s="360" t="str">
        <f>IF(PF!C23=0,"",PF!C23)</f>
        <v/>
      </c>
      <c r="D19" s="331" t="str">
        <f>IF(PF!E23=0,"",PF!E23)</f>
        <v/>
      </c>
      <c r="E19" s="351" t="str">
        <f>IF(PF!F23=0,"",PF!F23)</f>
        <v/>
      </c>
      <c r="F19" s="358" t="str">
        <f>IF(PF!G23=0,"",PF!G23)</f>
        <v/>
      </c>
      <c r="G19" s="331" t="str">
        <f>IF(PF!$H$23=0,"",PF!$H23)</f>
        <v/>
      </c>
      <c r="H19" s="521"/>
      <c r="I19" s="994"/>
      <c r="J19" s="994"/>
      <c r="K19" s="994"/>
      <c r="L19" s="994"/>
      <c r="M19" s="994"/>
      <c r="N19" s="994"/>
      <c r="O19" s="994"/>
    </row>
    <row r="20" spans="1:15" ht="80.099999999999994" customHeight="1" x14ac:dyDescent="0.2">
      <c r="B20" s="331" t="str">
        <f>IF('Personal Information'!$B$129=0,"",'Personal Information'!$B$129)</f>
        <v/>
      </c>
      <c r="C20" s="360" t="str">
        <f>IF(PF!C24=0,"",PF!C24)</f>
        <v/>
      </c>
      <c r="D20" s="331" t="str">
        <f>IF(PF!E24=0,"",PF!E24)</f>
        <v/>
      </c>
      <c r="E20" s="351" t="str">
        <f>IF(PF!F24=0,"",PF!F24)</f>
        <v/>
      </c>
      <c r="F20" s="358" t="str">
        <f>IF(PF!G24=0,"",PF!G24)</f>
        <v/>
      </c>
      <c r="G20" s="359" t="str">
        <f>IF(PF!$H$24=0,"",PF!$H24)</f>
        <v/>
      </c>
      <c r="H20" s="522"/>
    </row>
    <row r="21" spans="1:15" ht="80.099999999999994" customHeight="1" x14ac:dyDescent="0.2">
      <c r="B21" s="331" t="str">
        <f>IF('Personal Information'!$B$130=0,"",'Personal Information'!$B$130)</f>
        <v/>
      </c>
      <c r="C21" s="360" t="str">
        <f>IF(PF!C25=0,"",PF!C25)</f>
        <v/>
      </c>
      <c r="D21" s="331" t="str">
        <f>IF(PF!E25=0,"",PF!E25)</f>
        <v/>
      </c>
      <c r="E21" s="351" t="str">
        <f>IF(PF!F25=0,"",PF!F25)</f>
        <v/>
      </c>
      <c r="F21" s="358" t="str">
        <f>IF(PF!G25=0,"",PF!G25)</f>
        <v/>
      </c>
      <c r="G21" s="359" t="str">
        <f>IF(PF!$H$25=0,"",PF!$H25)</f>
        <v/>
      </c>
      <c r="H21" s="522"/>
    </row>
    <row r="22" spans="1:15" ht="15" customHeight="1" x14ac:dyDescent="0.2">
      <c r="B22" s="331" t="str">
        <f>IF('Personal Information'!$B$131=0,"",'Personal Information'!$B$131)</f>
        <v/>
      </c>
      <c r="C22" s="360" t="str">
        <f>IF(PF!C26=0,"",PF!C26)</f>
        <v/>
      </c>
      <c r="D22" s="331" t="str">
        <f>IF(PF!E26=0,"",PF!E26)</f>
        <v/>
      </c>
      <c r="E22" s="351" t="str">
        <f>IF(PF!F26=0,"",PF!F26)</f>
        <v/>
      </c>
      <c r="F22" s="358" t="str">
        <f>IF(PF!G26=0,"",PF!G26)</f>
        <v/>
      </c>
      <c r="G22" s="359" t="str">
        <f>IF(PF!$H$26=0,"",PF!$H26)</f>
        <v/>
      </c>
      <c r="H22" s="522"/>
    </row>
    <row r="23" spans="1:15" ht="15" customHeight="1" x14ac:dyDescent="0.2">
      <c r="B23" s="331" t="str">
        <f>IF('Personal Information'!$B$132=0,"",'Personal Information'!$B$132)</f>
        <v/>
      </c>
      <c r="C23" s="360" t="str">
        <f>IF(PF!C27=0,"",PF!C27)</f>
        <v/>
      </c>
      <c r="D23" s="331" t="str">
        <f>IF(PF!E27=0,"",PF!E27)</f>
        <v/>
      </c>
      <c r="E23" s="351" t="str">
        <f>IF(PF!F27=0,"",PF!F27)</f>
        <v/>
      </c>
      <c r="F23" s="358" t="str">
        <f>IF(PF!G27=0,"",PF!G27)</f>
        <v/>
      </c>
      <c r="G23" s="359" t="str">
        <f>IF(PF!$H$28=0,"",PF!$H28)</f>
        <v/>
      </c>
      <c r="H23" s="522"/>
    </row>
    <row r="24" spans="1:15" ht="15" customHeight="1" x14ac:dyDescent="0.2">
      <c r="B24" s="347" t="str">
        <f>IF('Personal Information'!$B$133=0,"",'Personal Information'!$B$133)</f>
        <v/>
      </c>
      <c r="C24" s="360" t="str">
        <f>IF(PF!C28=0,"",PF!C28)</f>
        <v/>
      </c>
      <c r="D24" s="347" t="str">
        <f>IF(PF!E28=0,"",PF!E28)</f>
        <v/>
      </c>
      <c r="E24" s="348" t="str">
        <f>IF(PF!F28=0,"",PF!F28)</f>
        <v/>
      </c>
      <c r="F24" s="349" t="str">
        <f>IF(PF!G28=0,"",PF!G28)</f>
        <v/>
      </c>
      <c r="G24" s="352"/>
      <c r="H24" s="523"/>
    </row>
    <row r="25" spans="1:15" x14ac:dyDescent="0.2"/>
    <row r="26" spans="1:15" x14ac:dyDescent="0.2">
      <c r="A26" s="202">
        <v>1</v>
      </c>
      <c r="B26" s="202" t="s">
        <v>439</v>
      </c>
    </row>
    <row r="27" spans="1:15" x14ac:dyDescent="0.2"/>
    <row r="28" spans="1:15" x14ac:dyDescent="0.2">
      <c r="A28" s="202">
        <v>2</v>
      </c>
      <c r="B28" s="202" t="s">
        <v>440</v>
      </c>
    </row>
    <row r="29" spans="1:15" x14ac:dyDescent="0.2"/>
    <row r="30" spans="1:15" x14ac:dyDescent="0.2">
      <c r="A30" s="202">
        <v>3</v>
      </c>
      <c r="B30" s="202" t="s">
        <v>351</v>
      </c>
    </row>
    <row r="31" spans="1:15" x14ac:dyDescent="0.2">
      <c r="D31" s="734"/>
      <c r="E31" s="734"/>
      <c r="F31" s="734"/>
      <c r="G31" s="734"/>
    </row>
    <row r="32" spans="1:15" x14ac:dyDescent="0.2">
      <c r="D32" s="734"/>
      <c r="E32" s="735" t="str">
        <f>IF(E_Name=0," ",E_Name)</f>
        <v xml:space="preserve">  </v>
      </c>
      <c r="F32" s="734"/>
      <c r="G32" s="734"/>
    </row>
    <row r="33" spans="2:7" x14ac:dyDescent="0.2">
      <c r="D33" s="736" t="s">
        <v>441</v>
      </c>
      <c r="E33" s="734"/>
      <c r="F33" s="734"/>
      <c r="G33" s="734"/>
    </row>
    <row r="34" spans="2:7" x14ac:dyDescent="0.2"/>
    <row r="35" spans="2:7" x14ac:dyDescent="0.2">
      <c r="C35" s="220" t="s">
        <v>442</v>
      </c>
      <c r="D35" s="220"/>
    </row>
    <row r="36" spans="2:7" x14ac:dyDescent="0.2"/>
    <row r="37" spans="2:7" x14ac:dyDescent="0.2">
      <c r="B37" s="202" t="s">
        <v>443</v>
      </c>
    </row>
    <row r="38" spans="2:7" x14ac:dyDescent="0.2">
      <c r="B38" s="202" t="s">
        <v>444</v>
      </c>
      <c r="C38" s="258" t="str">
        <f>E32</f>
        <v xml:space="preserve">  </v>
      </c>
      <c r="D38" s="202" t="s">
        <v>445</v>
      </c>
    </row>
    <row r="39" spans="2:7" x14ac:dyDescent="0.2">
      <c r="B39" s="202" t="s">
        <v>446</v>
      </c>
    </row>
    <row r="40" spans="2:7" x14ac:dyDescent="0.2"/>
    <row r="41" spans="2:7" x14ac:dyDescent="0.2"/>
    <row r="42" spans="2:7" x14ac:dyDescent="0.2">
      <c r="D42" s="202" t="s">
        <v>447</v>
      </c>
    </row>
    <row r="43" spans="2:7" x14ac:dyDescent="0.2"/>
    <row r="44" spans="2:7" x14ac:dyDescent="0.2"/>
    <row r="45" spans="2:7" x14ac:dyDescent="0.2"/>
    <row r="46" spans="2:7" x14ac:dyDescent="0.2">
      <c r="D46" s="202" t="s">
        <v>375</v>
      </c>
    </row>
    <row r="47" spans="2:7" x14ac:dyDescent="0.2">
      <c r="D47" s="202" t="s">
        <v>448</v>
      </c>
    </row>
    <row r="48" spans="2:7" x14ac:dyDescent="0.2">
      <c r="D48" s="202" t="s">
        <v>449</v>
      </c>
    </row>
    <row r="49" spans="4:4" x14ac:dyDescent="0.2">
      <c r="D49" s="202" t="s">
        <v>450</v>
      </c>
    </row>
    <row r="50" spans="4:4" x14ac:dyDescent="0.2"/>
  </sheetData>
  <sheetProtection algorithmName="SHA-512" hashValue="go/WBRVbGXU8tiscv01J3EUnjKzZl/6XRlVyg056dWLbvL/27Voz6bZQmVHEqejYm3tkfJRbk/TRDVtw8ia3Cw==" saltValue="G85XO8waQpbFwKLenn+GHA==" spinCount="100000" sheet="1" objects="1" scenarios="1"/>
  <mergeCells count="6">
    <mergeCell ref="I19:O19"/>
    <mergeCell ref="D10:G10"/>
    <mergeCell ref="D11:G11"/>
    <mergeCell ref="D12:G12"/>
    <mergeCell ref="D13:G13"/>
    <mergeCell ref="A15:G15"/>
  </mergeCells>
  <pageMargins left="0.7" right="0.7" top="0.75" bottom="0.75" header="0.3" footer="0.3"/>
  <pageSetup scale="73" orientation="portrait" r:id="rId1"/>
  <headerFooter>
    <oddHeader xml:space="preserve">&amp;L -   </oddHeader>
    <oddFooter>&amp;CPage &amp;P -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WVN50"/>
  <sheetViews>
    <sheetView showGridLines="0" showRowColHeaders="0" zoomScaleNormal="100" zoomScaleSheetLayoutView="85" workbookViewId="0">
      <selection activeCell="C47" sqref="C47:C49"/>
    </sheetView>
  </sheetViews>
  <sheetFormatPr defaultColWidth="0" defaultRowHeight="12.75" zeroHeight="1" x14ac:dyDescent="0.2"/>
  <cols>
    <col min="1" max="1" width="4" style="202" customWidth="1"/>
    <col min="2" max="2" width="2.7109375" style="202" customWidth="1"/>
    <col min="3" max="3" width="35.28515625" style="202" bestFit="1" customWidth="1"/>
    <col min="4" max="4" width="0.5703125" style="202" customWidth="1"/>
    <col min="5" max="5" width="41.85546875" style="202" customWidth="1"/>
    <col min="6" max="6" width="2.42578125" style="202" customWidth="1"/>
    <col min="7" max="7" width="10.42578125" style="202" customWidth="1"/>
    <col min="8" max="256" width="9.140625" style="202" hidden="1"/>
    <col min="257" max="257" width="4" style="202" hidden="1"/>
    <col min="258" max="258" width="2.7109375" style="202" hidden="1"/>
    <col min="259" max="259" width="35.28515625" style="202" hidden="1"/>
    <col min="260" max="260" width="0.5703125" style="202" hidden="1"/>
    <col min="261" max="261" width="41.85546875" style="202" hidden="1"/>
    <col min="262" max="262" width="2.42578125" style="202" hidden="1"/>
    <col min="263" max="512" width="9.140625" style="202" hidden="1"/>
    <col min="513" max="513" width="4" style="202" hidden="1"/>
    <col min="514" max="514" width="2.7109375" style="202" hidden="1"/>
    <col min="515" max="515" width="35.28515625" style="202" hidden="1"/>
    <col min="516" max="516" width="0.5703125" style="202" hidden="1"/>
    <col min="517" max="517" width="41.85546875" style="202" hidden="1"/>
    <col min="518" max="518" width="2.42578125" style="202" hidden="1"/>
    <col min="519" max="768" width="9.140625" style="202" hidden="1"/>
    <col min="769" max="769" width="4" style="202" hidden="1"/>
    <col min="770" max="770" width="2.7109375" style="202" hidden="1"/>
    <col min="771" max="771" width="35.28515625" style="202" hidden="1"/>
    <col min="772" max="772" width="0.5703125" style="202" hidden="1"/>
    <col min="773" max="773" width="41.85546875" style="202" hidden="1"/>
    <col min="774" max="774" width="2.42578125" style="202" hidden="1"/>
    <col min="775" max="1024" width="9.140625" style="202" hidden="1"/>
    <col min="1025" max="1025" width="4" style="202" hidden="1"/>
    <col min="1026" max="1026" width="2.7109375" style="202" hidden="1"/>
    <col min="1027" max="1027" width="35.28515625" style="202" hidden="1"/>
    <col min="1028" max="1028" width="0.5703125" style="202" hidden="1"/>
    <col min="1029" max="1029" width="41.85546875" style="202" hidden="1"/>
    <col min="1030" max="1030" width="2.42578125" style="202" hidden="1"/>
    <col min="1031" max="1280" width="9.140625" style="202" hidden="1"/>
    <col min="1281" max="1281" width="4" style="202" hidden="1"/>
    <col min="1282" max="1282" width="2.7109375" style="202" hidden="1"/>
    <col min="1283" max="1283" width="35.28515625" style="202" hidden="1"/>
    <col min="1284" max="1284" width="0.5703125" style="202" hidden="1"/>
    <col min="1285" max="1285" width="41.85546875" style="202" hidden="1"/>
    <col min="1286" max="1286" width="2.42578125" style="202" hidden="1"/>
    <col min="1287" max="1536" width="9.140625" style="202" hidden="1"/>
    <col min="1537" max="1537" width="4" style="202" hidden="1"/>
    <col min="1538" max="1538" width="2.7109375" style="202" hidden="1"/>
    <col min="1539" max="1539" width="35.28515625" style="202" hidden="1"/>
    <col min="1540" max="1540" width="0.5703125" style="202" hidden="1"/>
    <col min="1541" max="1541" width="41.85546875" style="202" hidden="1"/>
    <col min="1542" max="1542" width="2.42578125" style="202" hidden="1"/>
    <col min="1543" max="1792" width="9.140625" style="202" hidden="1"/>
    <col min="1793" max="1793" width="4" style="202" hidden="1"/>
    <col min="1794" max="1794" width="2.7109375" style="202" hidden="1"/>
    <col min="1795" max="1795" width="35.28515625" style="202" hidden="1"/>
    <col min="1796" max="1796" width="0.5703125" style="202" hidden="1"/>
    <col min="1797" max="1797" width="41.85546875" style="202" hidden="1"/>
    <col min="1798" max="1798" width="2.42578125" style="202" hidden="1"/>
    <col min="1799" max="2048" width="9.140625" style="202" hidden="1"/>
    <col min="2049" max="2049" width="4" style="202" hidden="1"/>
    <col min="2050" max="2050" width="2.7109375" style="202" hidden="1"/>
    <col min="2051" max="2051" width="35.28515625" style="202" hidden="1"/>
    <col min="2052" max="2052" width="0.5703125" style="202" hidden="1"/>
    <col min="2053" max="2053" width="41.85546875" style="202" hidden="1"/>
    <col min="2054" max="2054" width="2.42578125" style="202" hidden="1"/>
    <col min="2055" max="2304" width="9.140625" style="202" hidden="1"/>
    <col min="2305" max="2305" width="4" style="202" hidden="1"/>
    <col min="2306" max="2306" width="2.7109375" style="202" hidden="1"/>
    <col min="2307" max="2307" width="35.28515625" style="202" hidden="1"/>
    <col min="2308" max="2308" width="0.5703125" style="202" hidden="1"/>
    <col min="2309" max="2309" width="41.85546875" style="202" hidden="1"/>
    <col min="2310" max="2310" width="2.42578125" style="202" hidden="1"/>
    <col min="2311" max="2560" width="9.140625" style="202" hidden="1"/>
    <col min="2561" max="2561" width="4" style="202" hidden="1"/>
    <col min="2562" max="2562" width="2.7109375" style="202" hidden="1"/>
    <col min="2563" max="2563" width="35.28515625" style="202" hidden="1"/>
    <col min="2564" max="2564" width="0.5703125" style="202" hidden="1"/>
    <col min="2565" max="2565" width="41.85546875" style="202" hidden="1"/>
    <col min="2566" max="2566" width="2.42578125" style="202" hidden="1"/>
    <col min="2567" max="2816" width="9.140625" style="202" hidden="1"/>
    <col min="2817" max="2817" width="4" style="202" hidden="1"/>
    <col min="2818" max="2818" width="2.7109375" style="202" hidden="1"/>
    <col min="2819" max="2819" width="35.28515625" style="202" hidden="1"/>
    <col min="2820" max="2820" width="0.5703125" style="202" hidden="1"/>
    <col min="2821" max="2821" width="41.85546875" style="202" hidden="1"/>
    <col min="2822" max="2822" width="2.42578125" style="202" hidden="1"/>
    <col min="2823" max="3072" width="9.140625" style="202" hidden="1"/>
    <col min="3073" max="3073" width="4" style="202" hidden="1"/>
    <col min="3074" max="3074" width="2.7109375" style="202" hidden="1"/>
    <col min="3075" max="3075" width="35.28515625" style="202" hidden="1"/>
    <col min="3076" max="3076" width="0.5703125" style="202" hidden="1"/>
    <col min="3077" max="3077" width="41.85546875" style="202" hidden="1"/>
    <col min="3078" max="3078" width="2.42578125" style="202" hidden="1"/>
    <col min="3079" max="3328" width="9.140625" style="202" hidden="1"/>
    <col min="3329" max="3329" width="4" style="202" hidden="1"/>
    <col min="3330" max="3330" width="2.7109375" style="202" hidden="1"/>
    <col min="3331" max="3331" width="35.28515625" style="202" hidden="1"/>
    <col min="3332" max="3332" width="0.5703125" style="202" hidden="1"/>
    <col min="3333" max="3333" width="41.85546875" style="202" hidden="1"/>
    <col min="3334" max="3334" width="2.42578125" style="202" hidden="1"/>
    <col min="3335" max="3584" width="9.140625" style="202" hidden="1"/>
    <col min="3585" max="3585" width="4" style="202" hidden="1"/>
    <col min="3586" max="3586" width="2.7109375" style="202" hidden="1"/>
    <col min="3587" max="3587" width="35.28515625" style="202" hidden="1"/>
    <col min="3588" max="3588" width="0.5703125" style="202" hidden="1"/>
    <col min="3589" max="3589" width="41.85546875" style="202" hidden="1"/>
    <col min="3590" max="3590" width="2.42578125" style="202" hidden="1"/>
    <col min="3591" max="3840" width="9.140625" style="202" hidden="1"/>
    <col min="3841" max="3841" width="4" style="202" hidden="1"/>
    <col min="3842" max="3842" width="2.7109375" style="202" hidden="1"/>
    <col min="3843" max="3843" width="35.28515625" style="202" hidden="1"/>
    <col min="3844" max="3844" width="0.5703125" style="202" hidden="1"/>
    <col min="3845" max="3845" width="41.85546875" style="202" hidden="1"/>
    <col min="3846" max="3846" width="2.42578125" style="202" hidden="1"/>
    <col min="3847" max="4096" width="9.140625" style="202" hidden="1"/>
    <col min="4097" max="4097" width="4" style="202" hidden="1"/>
    <col min="4098" max="4098" width="2.7109375" style="202" hidden="1"/>
    <col min="4099" max="4099" width="35.28515625" style="202" hidden="1"/>
    <col min="4100" max="4100" width="0.5703125" style="202" hidden="1"/>
    <col min="4101" max="4101" width="41.85546875" style="202" hidden="1"/>
    <col min="4102" max="4102" width="2.42578125" style="202" hidden="1"/>
    <col min="4103" max="4352" width="9.140625" style="202" hidden="1"/>
    <col min="4353" max="4353" width="4" style="202" hidden="1"/>
    <col min="4354" max="4354" width="2.7109375" style="202" hidden="1"/>
    <col min="4355" max="4355" width="35.28515625" style="202" hidden="1"/>
    <col min="4356" max="4356" width="0.5703125" style="202" hidden="1"/>
    <col min="4357" max="4357" width="41.85546875" style="202" hidden="1"/>
    <col min="4358" max="4358" width="2.42578125" style="202" hidden="1"/>
    <col min="4359" max="4608" width="9.140625" style="202" hidden="1"/>
    <col min="4609" max="4609" width="4" style="202" hidden="1"/>
    <col min="4610" max="4610" width="2.7109375" style="202" hidden="1"/>
    <col min="4611" max="4611" width="35.28515625" style="202" hidden="1"/>
    <col min="4612" max="4612" width="0.5703125" style="202" hidden="1"/>
    <col min="4613" max="4613" width="41.85546875" style="202" hidden="1"/>
    <col min="4614" max="4614" width="2.42578125" style="202" hidden="1"/>
    <col min="4615" max="4864" width="9.140625" style="202" hidden="1"/>
    <col min="4865" max="4865" width="4" style="202" hidden="1"/>
    <col min="4866" max="4866" width="2.7109375" style="202" hidden="1"/>
    <col min="4867" max="4867" width="35.28515625" style="202" hidden="1"/>
    <col min="4868" max="4868" width="0.5703125" style="202" hidden="1"/>
    <col min="4869" max="4869" width="41.85546875" style="202" hidden="1"/>
    <col min="4870" max="4870" width="2.42578125" style="202" hidden="1"/>
    <col min="4871" max="5120" width="9.140625" style="202" hidden="1"/>
    <col min="5121" max="5121" width="4" style="202" hidden="1"/>
    <col min="5122" max="5122" width="2.7109375" style="202" hidden="1"/>
    <col min="5123" max="5123" width="35.28515625" style="202" hidden="1"/>
    <col min="5124" max="5124" width="0.5703125" style="202" hidden="1"/>
    <col min="5125" max="5125" width="41.85546875" style="202" hidden="1"/>
    <col min="5126" max="5126" width="2.42578125" style="202" hidden="1"/>
    <col min="5127" max="5376" width="9.140625" style="202" hidden="1"/>
    <col min="5377" max="5377" width="4" style="202" hidden="1"/>
    <col min="5378" max="5378" width="2.7109375" style="202" hidden="1"/>
    <col min="5379" max="5379" width="35.28515625" style="202" hidden="1"/>
    <col min="5380" max="5380" width="0.5703125" style="202" hidden="1"/>
    <col min="5381" max="5381" width="41.85546875" style="202" hidden="1"/>
    <col min="5382" max="5382" width="2.42578125" style="202" hidden="1"/>
    <col min="5383" max="5632" width="9.140625" style="202" hidden="1"/>
    <col min="5633" max="5633" width="4" style="202" hidden="1"/>
    <col min="5634" max="5634" width="2.7109375" style="202" hidden="1"/>
    <col min="5635" max="5635" width="35.28515625" style="202" hidden="1"/>
    <col min="5636" max="5636" width="0.5703125" style="202" hidden="1"/>
    <col min="5637" max="5637" width="41.85546875" style="202" hidden="1"/>
    <col min="5638" max="5638" width="2.42578125" style="202" hidden="1"/>
    <col min="5639" max="5888" width="9.140625" style="202" hidden="1"/>
    <col min="5889" max="5889" width="4" style="202" hidden="1"/>
    <col min="5890" max="5890" width="2.7109375" style="202" hidden="1"/>
    <col min="5891" max="5891" width="35.28515625" style="202" hidden="1"/>
    <col min="5892" max="5892" width="0.5703125" style="202" hidden="1"/>
    <col min="5893" max="5893" width="41.85546875" style="202" hidden="1"/>
    <col min="5894" max="5894" width="2.42578125" style="202" hidden="1"/>
    <col min="5895" max="6144" width="9.140625" style="202" hidden="1"/>
    <col min="6145" max="6145" width="4" style="202" hidden="1"/>
    <col min="6146" max="6146" width="2.7109375" style="202" hidden="1"/>
    <col min="6147" max="6147" width="35.28515625" style="202" hidden="1"/>
    <col min="6148" max="6148" width="0.5703125" style="202" hidden="1"/>
    <col min="6149" max="6149" width="41.85546875" style="202" hidden="1"/>
    <col min="6150" max="6150" width="2.42578125" style="202" hidden="1"/>
    <col min="6151" max="6400" width="9.140625" style="202" hidden="1"/>
    <col min="6401" max="6401" width="4" style="202" hidden="1"/>
    <col min="6402" max="6402" width="2.7109375" style="202" hidden="1"/>
    <col min="6403" max="6403" width="35.28515625" style="202" hidden="1"/>
    <col min="6404" max="6404" width="0.5703125" style="202" hidden="1"/>
    <col min="6405" max="6405" width="41.85546875" style="202" hidden="1"/>
    <col min="6406" max="6406" width="2.42578125" style="202" hidden="1"/>
    <col min="6407" max="6656" width="9.140625" style="202" hidden="1"/>
    <col min="6657" max="6657" width="4" style="202" hidden="1"/>
    <col min="6658" max="6658" width="2.7109375" style="202" hidden="1"/>
    <col min="6659" max="6659" width="35.28515625" style="202" hidden="1"/>
    <col min="6660" max="6660" width="0.5703125" style="202" hidden="1"/>
    <col min="6661" max="6661" width="41.85546875" style="202" hidden="1"/>
    <col min="6662" max="6662" width="2.42578125" style="202" hidden="1"/>
    <col min="6663" max="6912" width="9.140625" style="202" hidden="1"/>
    <col min="6913" max="6913" width="4" style="202" hidden="1"/>
    <col min="6914" max="6914" width="2.7109375" style="202" hidden="1"/>
    <col min="6915" max="6915" width="35.28515625" style="202" hidden="1"/>
    <col min="6916" max="6916" width="0.5703125" style="202" hidden="1"/>
    <col min="6917" max="6917" width="41.85546875" style="202" hidden="1"/>
    <col min="6918" max="6918" width="2.42578125" style="202" hidden="1"/>
    <col min="6919" max="7168" width="9.140625" style="202" hidden="1"/>
    <col min="7169" max="7169" width="4" style="202" hidden="1"/>
    <col min="7170" max="7170" width="2.7109375" style="202" hidden="1"/>
    <col min="7171" max="7171" width="35.28515625" style="202" hidden="1"/>
    <col min="7172" max="7172" width="0.5703125" style="202" hidden="1"/>
    <col min="7173" max="7173" width="41.85546875" style="202" hidden="1"/>
    <col min="7174" max="7174" width="2.42578125" style="202" hidden="1"/>
    <col min="7175" max="7424" width="9.140625" style="202" hidden="1"/>
    <col min="7425" max="7425" width="4" style="202" hidden="1"/>
    <col min="7426" max="7426" width="2.7109375" style="202" hidden="1"/>
    <col min="7427" max="7427" width="35.28515625" style="202" hidden="1"/>
    <col min="7428" max="7428" width="0.5703125" style="202" hidden="1"/>
    <col min="7429" max="7429" width="41.85546875" style="202" hidden="1"/>
    <col min="7430" max="7430" width="2.42578125" style="202" hidden="1"/>
    <col min="7431" max="7680" width="9.140625" style="202" hidden="1"/>
    <col min="7681" max="7681" width="4" style="202" hidden="1"/>
    <col min="7682" max="7682" width="2.7109375" style="202" hidden="1"/>
    <col min="7683" max="7683" width="35.28515625" style="202" hidden="1"/>
    <col min="7684" max="7684" width="0.5703125" style="202" hidden="1"/>
    <col min="7685" max="7685" width="41.85546875" style="202" hidden="1"/>
    <col min="7686" max="7686" width="2.42578125" style="202" hidden="1"/>
    <col min="7687" max="7936" width="9.140625" style="202" hidden="1"/>
    <col min="7937" max="7937" width="4" style="202" hidden="1"/>
    <col min="7938" max="7938" width="2.7109375" style="202" hidden="1"/>
    <col min="7939" max="7939" width="35.28515625" style="202" hidden="1"/>
    <col min="7940" max="7940" width="0.5703125" style="202" hidden="1"/>
    <col min="7941" max="7941" width="41.85546875" style="202" hidden="1"/>
    <col min="7942" max="7942" width="2.42578125" style="202" hidden="1"/>
    <col min="7943" max="8192" width="9.140625" style="202" hidden="1"/>
    <col min="8193" max="8193" width="4" style="202" hidden="1"/>
    <col min="8194" max="8194" width="2.7109375" style="202" hidden="1"/>
    <col min="8195" max="8195" width="35.28515625" style="202" hidden="1"/>
    <col min="8196" max="8196" width="0.5703125" style="202" hidden="1"/>
    <col min="8197" max="8197" width="41.85546875" style="202" hidden="1"/>
    <col min="8198" max="8198" width="2.42578125" style="202" hidden="1"/>
    <col min="8199" max="8448" width="9.140625" style="202" hidden="1"/>
    <col min="8449" max="8449" width="4" style="202" hidden="1"/>
    <col min="8450" max="8450" width="2.7109375" style="202" hidden="1"/>
    <col min="8451" max="8451" width="35.28515625" style="202" hidden="1"/>
    <col min="8452" max="8452" width="0.5703125" style="202" hidden="1"/>
    <col min="8453" max="8453" width="41.85546875" style="202" hidden="1"/>
    <col min="8454" max="8454" width="2.42578125" style="202" hidden="1"/>
    <col min="8455" max="8704" width="9.140625" style="202" hidden="1"/>
    <col min="8705" max="8705" width="4" style="202" hidden="1"/>
    <col min="8706" max="8706" width="2.7109375" style="202" hidden="1"/>
    <col min="8707" max="8707" width="35.28515625" style="202" hidden="1"/>
    <col min="8708" max="8708" width="0.5703125" style="202" hidden="1"/>
    <col min="8709" max="8709" width="41.85546875" style="202" hidden="1"/>
    <col min="8710" max="8710" width="2.42578125" style="202" hidden="1"/>
    <col min="8711" max="8960" width="9.140625" style="202" hidden="1"/>
    <col min="8961" max="8961" width="4" style="202" hidden="1"/>
    <col min="8962" max="8962" width="2.7109375" style="202" hidden="1"/>
    <col min="8963" max="8963" width="35.28515625" style="202" hidden="1"/>
    <col min="8964" max="8964" width="0.5703125" style="202" hidden="1"/>
    <col min="8965" max="8965" width="41.85546875" style="202" hidden="1"/>
    <col min="8966" max="8966" width="2.42578125" style="202" hidden="1"/>
    <col min="8967" max="9216" width="9.140625" style="202" hidden="1"/>
    <col min="9217" max="9217" width="4" style="202" hidden="1"/>
    <col min="9218" max="9218" width="2.7109375" style="202" hidden="1"/>
    <col min="9219" max="9219" width="35.28515625" style="202" hidden="1"/>
    <col min="9220" max="9220" width="0.5703125" style="202" hidden="1"/>
    <col min="9221" max="9221" width="41.85546875" style="202" hidden="1"/>
    <col min="9222" max="9222" width="2.42578125" style="202" hidden="1"/>
    <col min="9223" max="9472" width="9.140625" style="202" hidden="1"/>
    <col min="9473" max="9473" width="4" style="202" hidden="1"/>
    <col min="9474" max="9474" width="2.7109375" style="202" hidden="1"/>
    <col min="9475" max="9475" width="35.28515625" style="202" hidden="1"/>
    <col min="9476" max="9476" width="0.5703125" style="202" hidden="1"/>
    <col min="9477" max="9477" width="41.85546875" style="202" hidden="1"/>
    <col min="9478" max="9478" width="2.42578125" style="202" hidden="1"/>
    <col min="9479" max="9728" width="9.140625" style="202" hidden="1"/>
    <col min="9729" max="9729" width="4" style="202" hidden="1"/>
    <col min="9730" max="9730" width="2.7109375" style="202" hidden="1"/>
    <col min="9731" max="9731" width="35.28515625" style="202" hidden="1"/>
    <col min="9732" max="9732" width="0.5703125" style="202" hidden="1"/>
    <col min="9733" max="9733" width="41.85546875" style="202" hidden="1"/>
    <col min="9734" max="9734" width="2.42578125" style="202" hidden="1"/>
    <col min="9735" max="9984" width="9.140625" style="202" hidden="1"/>
    <col min="9985" max="9985" width="4" style="202" hidden="1"/>
    <col min="9986" max="9986" width="2.7109375" style="202" hidden="1"/>
    <col min="9987" max="9987" width="35.28515625" style="202" hidden="1"/>
    <col min="9988" max="9988" width="0.5703125" style="202" hidden="1"/>
    <col min="9989" max="9989" width="41.85546875" style="202" hidden="1"/>
    <col min="9990" max="9990" width="2.42578125" style="202" hidden="1"/>
    <col min="9991" max="10240" width="9.140625" style="202" hidden="1"/>
    <col min="10241" max="10241" width="4" style="202" hidden="1"/>
    <col min="10242" max="10242" width="2.7109375" style="202" hidden="1"/>
    <col min="10243" max="10243" width="35.28515625" style="202" hidden="1"/>
    <col min="10244" max="10244" width="0.5703125" style="202" hidden="1"/>
    <col min="10245" max="10245" width="41.85546875" style="202" hidden="1"/>
    <col min="10246" max="10246" width="2.42578125" style="202" hidden="1"/>
    <col min="10247" max="10496" width="9.140625" style="202" hidden="1"/>
    <col min="10497" max="10497" width="4" style="202" hidden="1"/>
    <col min="10498" max="10498" width="2.7109375" style="202" hidden="1"/>
    <col min="10499" max="10499" width="35.28515625" style="202" hidden="1"/>
    <col min="10500" max="10500" width="0.5703125" style="202" hidden="1"/>
    <col min="10501" max="10501" width="41.85546875" style="202" hidden="1"/>
    <col min="10502" max="10502" width="2.42578125" style="202" hidden="1"/>
    <col min="10503" max="10752" width="9.140625" style="202" hidden="1"/>
    <col min="10753" max="10753" width="4" style="202" hidden="1"/>
    <col min="10754" max="10754" width="2.7109375" style="202" hidden="1"/>
    <col min="10755" max="10755" width="35.28515625" style="202" hidden="1"/>
    <col min="10756" max="10756" width="0.5703125" style="202" hidden="1"/>
    <col min="10757" max="10757" width="41.85546875" style="202" hidden="1"/>
    <col min="10758" max="10758" width="2.42578125" style="202" hidden="1"/>
    <col min="10759" max="11008" width="9.140625" style="202" hidden="1"/>
    <col min="11009" max="11009" width="4" style="202" hidden="1"/>
    <col min="11010" max="11010" width="2.7109375" style="202" hidden="1"/>
    <col min="11011" max="11011" width="35.28515625" style="202" hidden="1"/>
    <col min="11012" max="11012" width="0.5703125" style="202" hidden="1"/>
    <col min="11013" max="11013" width="41.85546875" style="202" hidden="1"/>
    <col min="11014" max="11014" width="2.42578125" style="202" hidden="1"/>
    <col min="11015" max="11264" width="9.140625" style="202" hidden="1"/>
    <col min="11265" max="11265" width="4" style="202" hidden="1"/>
    <col min="11266" max="11266" width="2.7109375" style="202" hidden="1"/>
    <col min="11267" max="11267" width="35.28515625" style="202" hidden="1"/>
    <col min="11268" max="11268" width="0.5703125" style="202" hidden="1"/>
    <col min="11269" max="11269" width="41.85546875" style="202" hidden="1"/>
    <col min="11270" max="11270" width="2.42578125" style="202" hidden="1"/>
    <col min="11271" max="11520" width="9.140625" style="202" hidden="1"/>
    <col min="11521" max="11521" width="4" style="202" hidden="1"/>
    <col min="11522" max="11522" width="2.7109375" style="202" hidden="1"/>
    <col min="11523" max="11523" width="35.28515625" style="202" hidden="1"/>
    <col min="11524" max="11524" width="0.5703125" style="202" hidden="1"/>
    <col min="11525" max="11525" width="41.85546875" style="202" hidden="1"/>
    <col min="11526" max="11526" width="2.42578125" style="202" hidden="1"/>
    <col min="11527" max="11776" width="9.140625" style="202" hidden="1"/>
    <col min="11777" max="11777" width="4" style="202" hidden="1"/>
    <col min="11778" max="11778" width="2.7109375" style="202" hidden="1"/>
    <col min="11779" max="11779" width="35.28515625" style="202" hidden="1"/>
    <col min="11780" max="11780" width="0.5703125" style="202" hidden="1"/>
    <col min="11781" max="11781" width="41.85546875" style="202" hidden="1"/>
    <col min="11782" max="11782" width="2.42578125" style="202" hidden="1"/>
    <col min="11783" max="12032" width="9.140625" style="202" hidden="1"/>
    <col min="12033" max="12033" width="4" style="202" hidden="1"/>
    <col min="12034" max="12034" width="2.7109375" style="202" hidden="1"/>
    <col min="12035" max="12035" width="35.28515625" style="202" hidden="1"/>
    <col min="12036" max="12036" width="0.5703125" style="202" hidden="1"/>
    <col min="12037" max="12037" width="41.85546875" style="202" hidden="1"/>
    <col min="12038" max="12038" width="2.42578125" style="202" hidden="1"/>
    <col min="12039" max="12288" width="9.140625" style="202" hidden="1"/>
    <col min="12289" max="12289" width="4" style="202" hidden="1"/>
    <col min="12290" max="12290" width="2.7109375" style="202" hidden="1"/>
    <col min="12291" max="12291" width="35.28515625" style="202" hidden="1"/>
    <col min="12292" max="12292" width="0.5703125" style="202" hidden="1"/>
    <col min="12293" max="12293" width="41.85546875" style="202" hidden="1"/>
    <col min="12294" max="12294" width="2.42578125" style="202" hidden="1"/>
    <col min="12295" max="12544" width="9.140625" style="202" hidden="1"/>
    <col min="12545" max="12545" width="4" style="202" hidden="1"/>
    <col min="12546" max="12546" width="2.7109375" style="202" hidden="1"/>
    <col min="12547" max="12547" width="35.28515625" style="202" hidden="1"/>
    <col min="12548" max="12548" width="0.5703125" style="202" hidden="1"/>
    <col min="12549" max="12549" width="41.85546875" style="202" hidden="1"/>
    <col min="12550" max="12550" width="2.42578125" style="202" hidden="1"/>
    <col min="12551" max="12800" width="9.140625" style="202" hidden="1"/>
    <col min="12801" max="12801" width="4" style="202" hidden="1"/>
    <col min="12802" max="12802" width="2.7109375" style="202" hidden="1"/>
    <col min="12803" max="12803" width="35.28515625" style="202" hidden="1"/>
    <col min="12804" max="12804" width="0.5703125" style="202" hidden="1"/>
    <col min="12805" max="12805" width="41.85546875" style="202" hidden="1"/>
    <col min="12806" max="12806" width="2.42578125" style="202" hidden="1"/>
    <col min="12807" max="13056" width="9.140625" style="202" hidden="1"/>
    <col min="13057" max="13057" width="4" style="202" hidden="1"/>
    <col min="13058" max="13058" width="2.7109375" style="202" hidden="1"/>
    <col min="13059" max="13059" width="35.28515625" style="202" hidden="1"/>
    <col min="13060" max="13060" width="0.5703125" style="202" hidden="1"/>
    <col min="13061" max="13061" width="41.85546875" style="202" hidden="1"/>
    <col min="13062" max="13062" width="2.42578125" style="202" hidden="1"/>
    <col min="13063" max="13312" width="9.140625" style="202" hidden="1"/>
    <col min="13313" max="13313" width="4" style="202" hidden="1"/>
    <col min="13314" max="13314" width="2.7109375" style="202" hidden="1"/>
    <col min="13315" max="13315" width="35.28515625" style="202" hidden="1"/>
    <col min="13316" max="13316" width="0.5703125" style="202" hidden="1"/>
    <col min="13317" max="13317" width="41.85546875" style="202" hidden="1"/>
    <col min="13318" max="13318" width="2.42578125" style="202" hidden="1"/>
    <col min="13319" max="13568" width="9.140625" style="202" hidden="1"/>
    <col min="13569" max="13569" width="4" style="202" hidden="1"/>
    <col min="13570" max="13570" width="2.7109375" style="202" hidden="1"/>
    <col min="13571" max="13571" width="35.28515625" style="202" hidden="1"/>
    <col min="13572" max="13572" width="0.5703125" style="202" hidden="1"/>
    <col min="13573" max="13573" width="41.85546875" style="202" hidden="1"/>
    <col min="13574" max="13574" width="2.42578125" style="202" hidden="1"/>
    <col min="13575" max="13824" width="9.140625" style="202" hidden="1"/>
    <col min="13825" max="13825" width="4" style="202" hidden="1"/>
    <col min="13826" max="13826" width="2.7109375" style="202" hidden="1"/>
    <col min="13827" max="13827" width="35.28515625" style="202" hidden="1"/>
    <col min="13828" max="13828" width="0.5703125" style="202" hidden="1"/>
    <col min="13829" max="13829" width="41.85546875" style="202" hidden="1"/>
    <col min="13830" max="13830" width="2.42578125" style="202" hidden="1"/>
    <col min="13831" max="14080" width="9.140625" style="202" hidden="1"/>
    <col min="14081" max="14081" width="4" style="202" hidden="1"/>
    <col min="14082" max="14082" width="2.7109375" style="202" hidden="1"/>
    <col min="14083" max="14083" width="35.28515625" style="202" hidden="1"/>
    <col min="14084" max="14084" width="0.5703125" style="202" hidden="1"/>
    <col min="14085" max="14085" width="41.85546875" style="202" hidden="1"/>
    <col min="14086" max="14086" width="2.42578125" style="202" hidden="1"/>
    <col min="14087" max="14336" width="9.140625" style="202" hidden="1"/>
    <col min="14337" max="14337" width="4" style="202" hidden="1"/>
    <col min="14338" max="14338" width="2.7109375" style="202" hidden="1"/>
    <col min="14339" max="14339" width="35.28515625" style="202" hidden="1"/>
    <col min="14340" max="14340" width="0.5703125" style="202" hidden="1"/>
    <col min="14341" max="14341" width="41.85546875" style="202" hidden="1"/>
    <col min="14342" max="14342" width="2.42578125" style="202" hidden="1"/>
    <col min="14343" max="14592" width="9.140625" style="202" hidden="1"/>
    <col min="14593" max="14593" width="4" style="202" hidden="1"/>
    <col min="14594" max="14594" width="2.7109375" style="202" hidden="1"/>
    <col min="14595" max="14595" width="35.28515625" style="202" hidden="1"/>
    <col min="14596" max="14596" width="0.5703125" style="202" hidden="1"/>
    <col min="14597" max="14597" width="41.85546875" style="202" hidden="1"/>
    <col min="14598" max="14598" width="2.42578125" style="202" hidden="1"/>
    <col min="14599" max="14848" width="9.140625" style="202" hidden="1"/>
    <col min="14849" max="14849" width="4" style="202" hidden="1"/>
    <col min="14850" max="14850" width="2.7109375" style="202" hidden="1"/>
    <col min="14851" max="14851" width="35.28515625" style="202" hidden="1"/>
    <col min="14852" max="14852" width="0.5703125" style="202" hidden="1"/>
    <col min="14853" max="14853" width="41.85546875" style="202" hidden="1"/>
    <col min="14854" max="14854" width="2.42578125" style="202" hidden="1"/>
    <col min="14855" max="15104" width="9.140625" style="202" hidden="1"/>
    <col min="15105" max="15105" width="4" style="202" hidden="1"/>
    <col min="15106" max="15106" width="2.7109375" style="202" hidden="1"/>
    <col min="15107" max="15107" width="35.28515625" style="202" hidden="1"/>
    <col min="15108" max="15108" width="0.5703125" style="202" hidden="1"/>
    <col min="15109" max="15109" width="41.85546875" style="202" hidden="1"/>
    <col min="15110" max="15110" width="2.42578125" style="202" hidden="1"/>
    <col min="15111" max="15360" width="9.140625" style="202" hidden="1"/>
    <col min="15361" max="15361" width="4" style="202" hidden="1"/>
    <col min="15362" max="15362" width="2.7109375" style="202" hidden="1"/>
    <col min="15363" max="15363" width="35.28515625" style="202" hidden="1"/>
    <col min="15364" max="15364" width="0.5703125" style="202" hidden="1"/>
    <col min="15365" max="15365" width="41.85546875" style="202" hidden="1"/>
    <col min="15366" max="15366" width="2.42578125" style="202" hidden="1"/>
    <col min="15367" max="15616" width="9.140625" style="202" hidden="1"/>
    <col min="15617" max="15617" width="4" style="202" hidden="1"/>
    <col min="15618" max="15618" width="2.7109375" style="202" hidden="1"/>
    <col min="15619" max="15619" width="35.28515625" style="202" hidden="1"/>
    <col min="15620" max="15620" width="0.5703125" style="202" hidden="1"/>
    <col min="15621" max="15621" width="41.85546875" style="202" hidden="1"/>
    <col min="15622" max="15622" width="2.42578125" style="202" hidden="1"/>
    <col min="15623" max="15872" width="9.140625" style="202" hidden="1"/>
    <col min="15873" max="15873" width="4" style="202" hidden="1"/>
    <col min="15874" max="15874" width="2.7109375" style="202" hidden="1"/>
    <col min="15875" max="15875" width="35.28515625" style="202" hidden="1"/>
    <col min="15876" max="15876" width="0.5703125" style="202" hidden="1"/>
    <col min="15877" max="15877" width="41.85546875" style="202" hidden="1"/>
    <col min="15878" max="15878" width="2.42578125" style="202" hidden="1"/>
    <col min="15879" max="16128" width="9.140625" style="202" hidden="1"/>
    <col min="16129" max="16129" width="4" style="202" hidden="1"/>
    <col min="16130" max="16130" width="2.7109375" style="202" hidden="1"/>
    <col min="16131" max="16131" width="35.28515625" style="202" hidden="1"/>
    <col min="16132" max="16132" width="0.5703125" style="202" hidden="1"/>
    <col min="16133" max="16133" width="41.85546875" style="202" hidden="1"/>
    <col min="16134" max="16134" width="2.42578125" style="202" hidden="1"/>
    <col min="16135" max="16384" width="9.140625" style="202" hidden="1"/>
  </cols>
  <sheetData>
    <row r="1" spans="1:6" x14ac:dyDescent="0.2">
      <c r="A1" s="228"/>
      <c r="B1" s="229"/>
      <c r="C1" s="229"/>
      <c r="D1" s="229"/>
      <c r="E1" s="230" t="s">
        <v>451</v>
      </c>
      <c r="F1" s="231"/>
    </row>
    <row r="2" spans="1:6" x14ac:dyDescent="0.2">
      <c r="A2" s="232"/>
      <c r="B2" s="222"/>
      <c r="C2" s="222"/>
      <c r="D2" s="233" t="s">
        <v>452</v>
      </c>
      <c r="E2" s="222"/>
      <c r="F2" s="221"/>
    </row>
    <row r="3" spans="1:6" x14ac:dyDescent="0.2">
      <c r="A3" s="232"/>
      <c r="B3" s="222"/>
      <c r="C3" s="222"/>
      <c r="D3" s="233" t="s">
        <v>453</v>
      </c>
      <c r="E3" s="222"/>
      <c r="F3" s="221"/>
    </row>
    <row r="4" spans="1:6" ht="9.9499999999999993" customHeight="1" x14ac:dyDescent="0.2">
      <c r="A4" s="232"/>
      <c r="B4" s="222"/>
      <c r="C4" s="222"/>
      <c r="D4" s="222"/>
      <c r="E4" s="222"/>
      <c r="F4" s="221"/>
    </row>
    <row r="5" spans="1:6" x14ac:dyDescent="0.2">
      <c r="A5" s="232"/>
      <c r="B5" s="222"/>
      <c r="C5" s="222"/>
      <c r="D5" s="233" t="s">
        <v>454</v>
      </c>
      <c r="E5" s="222"/>
      <c r="F5" s="221"/>
    </row>
    <row r="6" spans="1:6" ht="9.9499999999999993" customHeight="1" x14ac:dyDescent="0.2">
      <c r="A6" s="232"/>
      <c r="B6" s="222"/>
      <c r="C6" s="222"/>
      <c r="D6" s="222"/>
      <c r="E6" s="222"/>
      <c r="F6" s="221"/>
    </row>
    <row r="7" spans="1:6" x14ac:dyDescent="0.2">
      <c r="A7" s="232">
        <v>1</v>
      </c>
      <c r="B7" s="222"/>
      <c r="C7" s="221" t="s">
        <v>455</v>
      </c>
      <c r="D7" s="222"/>
      <c r="E7" s="222"/>
      <c r="F7" s="221"/>
    </row>
    <row r="8" spans="1:6" x14ac:dyDescent="0.2">
      <c r="A8" s="232"/>
      <c r="B8" s="222"/>
      <c r="C8" s="221"/>
      <c r="D8" s="222"/>
      <c r="E8" s="222"/>
      <c r="F8" s="221"/>
    </row>
    <row r="9" spans="1:6" x14ac:dyDescent="0.2">
      <c r="A9" s="232"/>
      <c r="B9" s="222"/>
      <c r="C9" s="221"/>
      <c r="D9" s="222"/>
      <c r="E9" s="222"/>
      <c r="F9" s="221"/>
    </row>
    <row r="10" spans="1:6" x14ac:dyDescent="0.2">
      <c r="A10" s="232"/>
      <c r="B10" s="222"/>
      <c r="C10" s="221"/>
      <c r="D10" s="222"/>
      <c r="E10" s="222"/>
      <c r="F10" s="221"/>
    </row>
    <row r="11" spans="1:6" ht="9.9499999999999993" customHeight="1" x14ac:dyDescent="0.2">
      <c r="A11" s="234"/>
      <c r="B11" s="223"/>
      <c r="C11" s="224"/>
      <c r="D11" s="223"/>
      <c r="E11" s="223"/>
      <c r="F11" s="221"/>
    </row>
    <row r="12" spans="1:6" ht="9.9499999999999993" customHeight="1" x14ac:dyDescent="0.2">
      <c r="A12" s="232"/>
      <c r="B12" s="222"/>
      <c r="C12" s="221"/>
      <c r="D12" s="222"/>
      <c r="E12" s="229"/>
      <c r="F12" s="221"/>
    </row>
    <row r="13" spans="1:6" ht="63.75" customHeight="1" x14ac:dyDescent="0.2">
      <c r="A13" s="242">
        <v>2</v>
      </c>
      <c r="B13" s="243"/>
      <c r="C13" s="244" t="s">
        <v>456</v>
      </c>
      <c r="D13" s="243"/>
      <c r="E13" s="245" t="s">
        <v>457</v>
      </c>
      <c r="F13" s="221"/>
    </row>
    <row r="14" spans="1:6" ht="9.9499999999999993" customHeight="1" x14ac:dyDescent="0.2">
      <c r="A14" s="234"/>
      <c r="B14" s="223"/>
      <c r="C14" s="224"/>
      <c r="D14" s="223"/>
      <c r="E14" s="223"/>
      <c r="F14" s="221"/>
    </row>
    <row r="15" spans="1:6" x14ac:dyDescent="0.2">
      <c r="A15" s="232">
        <v>3</v>
      </c>
      <c r="B15" s="222"/>
      <c r="C15" s="221" t="s">
        <v>458</v>
      </c>
      <c r="D15" s="222"/>
      <c r="E15" s="235" t="str">
        <f>IF(E_Name=0," ",E_Name)</f>
        <v xml:space="preserve">  </v>
      </c>
      <c r="F15" s="221"/>
    </row>
    <row r="16" spans="1:6" ht="9.9499999999999993" customHeight="1" x14ac:dyDescent="0.2">
      <c r="A16" s="234"/>
      <c r="B16" s="223"/>
      <c r="C16" s="224"/>
      <c r="D16" s="223"/>
      <c r="E16" s="222"/>
      <c r="F16" s="221"/>
    </row>
    <row r="17" spans="1:6" ht="24" customHeight="1" x14ac:dyDescent="0.2">
      <c r="A17" s="232">
        <v>4</v>
      </c>
      <c r="B17" s="222"/>
      <c r="C17" s="221" t="s">
        <v>459</v>
      </c>
      <c r="D17" s="222"/>
      <c r="E17" s="256" t="str">
        <f>IF(('Personal Information'!$D$43&amp;'Personal Information'!$D$44&amp;'Personal Information'!$D$45)=0,"",'Personal Information'!$D$43&amp;" "&amp;'Personal Information'!$D$44)</f>
        <v xml:space="preserve"> </v>
      </c>
      <c r="F17" s="221"/>
    </row>
    <row r="18" spans="1:6" ht="24" customHeight="1" x14ac:dyDescent="0.2">
      <c r="A18" s="232"/>
      <c r="B18" s="222"/>
      <c r="C18" s="221"/>
      <c r="D18" s="222"/>
      <c r="E18" s="257" t="str">
        <f>IF('Personal Information'!$D$45=0,"",'Personal Information'!$D$45)</f>
        <v/>
      </c>
      <c r="F18" s="221"/>
    </row>
    <row r="19" spans="1:6" ht="24" customHeight="1" x14ac:dyDescent="0.2">
      <c r="A19" s="232"/>
      <c r="B19" s="222"/>
      <c r="C19" s="221"/>
      <c r="D19" s="222"/>
      <c r="E19" s="257" t="str">
        <f>IF('Personal Information'!$D$46=0,"",'Personal Information'!$D$46&amp;" - "&amp;'Personal Information'!$D$48)</f>
        <v/>
      </c>
      <c r="F19" s="221"/>
    </row>
    <row r="20" spans="1:6" ht="21.95" customHeight="1" x14ac:dyDescent="0.2">
      <c r="A20" s="232"/>
      <c r="B20" s="222"/>
      <c r="C20" s="221"/>
      <c r="D20" s="222"/>
      <c r="E20" s="257" t="str">
        <f>IF('Personal Information'!$D$47=0,"",'Personal Information'!$D$47)</f>
        <v/>
      </c>
      <c r="F20" s="221"/>
    </row>
    <row r="21" spans="1:6" ht="9.9499999999999993" customHeight="1" x14ac:dyDescent="0.2">
      <c r="A21" s="234"/>
      <c r="B21" s="223"/>
      <c r="C21" s="224"/>
      <c r="D21" s="223"/>
      <c r="E21" s="239"/>
      <c r="F21" s="221"/>
    </row>
    <row r="22" spans="1:6" ht="24" customHeight="1" x14ac:dyDescent="0.2">
      <c r="A22" s="232">
        <v>5</v>
      </c>
      <c r="B22" s="222"/>
      <c r="C22" s="221" t="s">
        <v>460</v>
      </c>
      <c r="D22" s="222"/>
      <c r="E22" s="257" t="str">
        <f>IF(('Personal Information'!$H$43&amp;'Personal Information'!$H$44&amp;'Personal Information'!$H$45)=0,"",'Personal Information'!$H$43&amp;" "&amp;'Personal Information'!$H$44)</f>
        <v xml:space="preserve"> </v>
      </c>
      <c r="F22" s="221"/>
    </row>
    <row r="23" spans="1:6" ht="24" customHeight="1" x14ac:dyDescent="0.2">
      <c r="A23" s="232"/>
      <c r="B23" s="222"/>
      <c r="C23" s="221"/>
      <c r="D23" s="222"/>
      <c r="E23" s="257" t="str">
        <f>IF('Personal Information'!$H$45=0,"",'Personal Information'!$H$45)</f>
        <v/>
      </c>
      <c r="F23" s="221"/>
    </row>
    <row r="24" spans="1:6" ht="24" customHeight="1" x14ac:dyDescent="0.2">
      <c r="A24" s="232"/>
      <c r="B24" s="222"/>
      <c r="C24" s="221"/>
      <c r="D24" s="222"/>
      <c r="E24" s="257" t="str">
        <f>IF('Personal Information'!$H$46=0,"",'Personal Information'!$H$46&amp;" - "&amp;'Personal Information'!$H$48)</f>
        <v/>
      </c>
      <c r="F24" s="221"/>
    </row>
    <row r="25" spans="1:6" ht="21.95" customHeight="1" x14ac:dyDescent="0.2">
      <c r="A25" s="232"/>
      <c r="B25" s="222"/>
      <c r="C25" s="221"/>
      <c r="D25" s="222"/>
      <c r="E25" s="257" t="str">
        <f>IF('Personal Information'!$H$47=0,"",'Personal Information'!$H$47)</f>
        <v/>
      </c>
      <c r="F25" s="221"/>
    </row>
    <row r="26" spans="1:6" ht="9.9499999999999993" customHeight="1" x14ac:dyDescent="0.2">
      <c r="A26" s="234"/>
      <c r="B26" s="223"/>
      <c r="C26" s="224"/>
      <c r="D26" s="223"/>
      <c r="E26" s="239"/>
      <c r="F26" s="221"/>
    </row>
    <row r="27" spans="1:6" s="247" customFormat="1" ht="18" customHeight="1" x14ac:dyDescent="0.25">
      <c r="A27" s="248">
        <v>6</v>
      </c>
      <c r="B27" s="249"/>
      <c r="C27" s="250" t="s">
        <v>461</v>
      </c>
      <c r="D27" s="249"/>
      <c r="E27" s="251" t="str">
        <f>IF('Personal Information'!D16=0," ",'Personal Information'!D16)</f>
        <v xml:space="preserve"> </v>
      </c>
      <c r="F27" s="246"/>
    </row>
    <row r="28" spans="1:6" s="247" customFormat="1" ht="18" customHeight="1" x14ac:dyDescent="0.25">
      <c r="A28" s="248">
        <v>7</v>
      </c>
      <c r="B28" s="249"/>
      <c r="C28" s="250" t="s">
        <v>8</v>
      </c>
      <c r="D28" s="249"/>
      <c r="E28" s="252" t="str">
        <f>IF(DOB=0,"",DOB)</f>
        <v/>
      </c>
      <c r="F28" s="246"/>
    </row>
    <row r="29" spans="1:6" s="247" customFormat="1" ht="18" customHeight="1" x14ac:dyDescent="0.25">
      <c r="A29" s="248">
        <v>8</v>
      </c>
      <c r="B29" s="249"/>
      <c r="C29" s="250" t="s">
        <v>462</v>
      </c>
      <c r="D29" s="249"/>
      <c r="E29" s="253" t="str">
        <f>IF(DOJ=0,"",DOJ)</f>
        <v/>
      </c>
      <c r="F29" s="246"/>
    </row>
    <row r="30" spans="1:6" s="247" customFormat="1" ht="18" customHeight="1" x14ac:dyDescent="0.25">
      <c r="A30" s="248">
        <v>9</v>
      </c>
      <c r="B30" s="249"/>
      <c r="C30" s="250" t="s">
        <v>23</v>
      </c>
      <c r="D30" s="249"/>
      <c r="E30" s="253" t="str">
        <f>IF('Personal Information'!D22=0,"",'Personal Information'!D22)</f>
        <v/>
      </c>
      <c r="F30" s="246"/>
    </row>
    <row r="31" spans="1:6" s="247" customFormat="1" ht="18" customHeight="1" x14ac:dyDescent="0.25">
      <c r="A31" s="248">
        <v>10</v>
      </c>
      <c r="B31" s="249"/>
      <c r="C31" s="250" t="s">
        <v>463</v>
      </c>
      <c r="D31" s="249"/>
      <c r="E31" s="254" t="str">
        <f>IF('Admin Form'!D14=0,"",'Admin Form'!D14)</f>
        <v/>
      </c>
      <c r="F31" s="246"/>
    </row>
    <row r="32" spans="1:6" ht="32.25" customHeight="1" x14ac:dyDescent="0.2">
      <c r="A32" s="248">
        <v>11</v>
      </c>
      <c r="B32" s="249"/>
      <c r="C32" s="255" t="s">
        <v>464</v>
      </c>
      <c r="D32" s="249"/>
      <c r="E32" s="259" t="str">
        <f>IF(Empl_No=0,"",Empl_No)</f>
        <v>NA</v>
      </c>
      <c r="F32" s="221"/>
    </row>
    <row r="33" spans="1:6" x14ac:dyDescent="0.2">
      <c r="A33" s="232">
        <v>13</v>
      </c>
      <c r="B33" s="222"/>
      <c r="C33" s="221" t="s">
        <v>465</v>
      </c>
      <c r="D33" s="222"/>
      <c r="E33" s="222"/>
      <c r="F33" s="221"/>
    </row>
    <row r="34" spans="1:6" x14ac:dyDescent="0.2">
      <c r="A34" s="232"/>
      <c r="B34" s="222" t="s">
        <v>466</v>
      </c>
      <c r="C34" s="225" t="s">
        <v>467</v>
      </c>
      <c r="D34" s="222"/>
      <c r="E34" s="236"/>
      <c r="F34" s="221"/>
    </row>
    <row r="35" spans="1:6" x14ac:dyDescent="0.2">
      <c r="A35" s="232"/>
      <c r="B35" s="222" t="s">
        <v>468</v>
      </c>
      <c r="C35" s="225" t="s">
        <v>469</v>
      </c>
      <c r="D35" s="222"/>
      <c r="E35" s="236" t="s">
        <v>470</v>
      </c>
      <c r="F35" s="221"/>
    </row>
    <row r="36" spans="1:6" x14ac:dyDescent="0.2">
      <c r="A36" s="232"/>
      <c r="B36" s="222" t="s">
        <v>471</v>
      </c>
      <c r="C36" s="225" t="s">
        <v>472</v>
      </c>
      <c r="D36" s="222"/>
      <c r="E36" s="236"/>
      <c r="F36" s="221"/>
    </row>
    <row r="37" spans="1:6" x14ac:dyDescent="0.2">
      <c r="A37" s="234"/>
      <c r="B37" s="223"/>
      <c r="C37" s="226" t="s">
        <v>473</v>
      </c>
      <c r="D37" s="223"/>
      <c r="E37" s="227"/>
      <c r="F37" s="221"/>
    </row>
    <row r="38" spans="1:6" x14ac:dyDescent="0.2">
      <c r="A38" s="232"/>
      <c r="B38" s="222"/>
      <c r="C38" s="222"/>
      <c r="D38" s="222"/>
      <c r="E38" s="222"/>
      <c r="F38" s="221"/>
    </row>
    <row r="39" spans="1:6" x14ac:dyDescent="0.2">
      <c r="A39" s="232" t="s">
        <v>474</v>
      </c>
      <c r="B39" s="222"/>
      <c r="C39" s="222" t="s">
        <v>100</v>
      </c>
      <c r="D39" s="222"/>
      <c r="E39" s="222"/>
      <c r="F39" s="221"/>
    </row>
    <row r="40" spans="1:6" ht="21.75" customHeight="1" x14ac:dyDescent="0.2">
      <c r="A40" s="232" t="s">
        <v>404</v>
      </c>
      <c r="B40" s="222"/>
      <c r="C40" s="237" t="str">
        <f>E29</f>
        <v/>
      </c>
      <c r="D40" s="222"/>
      <c r="E40" s="222"/>
      <c r="F40" s="221"/>
    </row>
    <row r="41" spans="1:6" x14ac:dyDescent="0.2">
      <c r="A41" s="232"/>
      <c r="B41" s="222"/>
      <c r="C41" s="222"/>
      <c r="D41" s="222"/>
      <c r="E41" s="222"/>
      <c r="F41" s="221"/>
    </row>
    <row r="42" spans="1:6" x14ac:dyDescent="0.2">
      <c r="A42" s="232"/>
      <c r="B42" s="222"/>
      <c r="C42" s="222"/>
      <c r="D42" s="222"/>
      <c r="E42" s="222" t="s">
        <v>447</v>
      </c>
      <c r="F42" s="221"/>
    </row>
    <row r="43" spans="1:6" x14ac:dyDescent="0.2">
      <c r="A43" s="232"/>
      <c r="B43" s="222"/>
      <c r="C43" s="222"/>
      <c r="D43" s="222"/>
      <c r="E43" s="238"/>
      <c r="F43" s="221"/>
    </row>
    <row r="44" spans="1:6" x14ac:dyDescent="0.2">
      <c r="A44" s="232"/>
      <c r="B44" s="222"/>
      <c r="C44" s="222"/>
      <c r="D44" s="222"/>
      <c r="E44" s="222"/>
      <c r="F44" s="221"/>
    </row>
    <row r="45" spans="1:6" x14ac:dyDescent="0.2">
      <c r="A45" s="232"/>
      <c r="B45" s="222"/>
      <c r="C45" s="222"/>
      <c r="D45" s="222"/>
      <c r="E45" s="222"/>
      <c r="F45" s="221"/>
    </row>
    <row r="46" spans="1:6" x14ac:dyDescent="0.2">
      <c r="A46" s="232"/>
      <c r="B46" s="222"/>
      <c r="C46" s="222"/>
      <c r="D46" s="222"/>
      <c r="E46" s="222" t="s">
        <v>375</v>
      </c>
      <c r="F46" s="221"/>
    </row>
    <row r="47" spans="1:6" x14ac:dyDescent="0.2">
      <c r="A47" s="232"/>
      <c r="B47" s="222"/>
      <c r="C47" s="737"/>
      <c r="D47" s="222"/>
      <c r="E47" s="222" t="s">
        <v>448</v>
      </c>
      <c r="F47" s="221"/>
    </row>
    <row r="48" spans="1:6" x14ac:dyDescent="0.2">
      <c r="A48" s="232"/>
      <c r="B48" s="222"/>
      <c r="C48" s="737"/>
      <c r="D48" s="222"/>
      <c r="E48" s="260" t="s">
        <v>449</v>
      </c>
      <c r="F48" s="221"/>
    </row>
    <row r="49" spans="1:6" ht="25.5" x14ac:dyDescent="0.2">
      <c r="A49" s="234"/>
      <c r="B49" s="223"/>
      <c r="C49" s="738" t="s">
        <v>475</v>
      </c>
      <c r="D49" s="223"/>
      <c r="E49" s="524" t="s">
        <v>476</v>
      </c>
      <c r="F49" s="224"/>
    </row>
    <row r="50" spans="1:6" x14ac:dyDescent="0.2"/>
  </sheetData>
  <pageMargins left="0.7" right="0.7" top="0.75" bottom="0.75" header="0.3" footer="0.3"/>
  <pageSetup scale="88" orientation="portrait" r:id="rId1"/>
  <headerFooter>
    <oddHeader xml:space="preserve">&amp;L -   </oddHeader>
    <oddFooter>&amp;CPage &amp;P -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L63"/>
  <sheetViews>
    <sheetView showGridLines="0" zoomScaleNormal="100" zoomScaleSheetLayoutView="100" workbookViewId="0">
      <selection activeCell="F16" sqref="F16:H16"/>
    </sheetView>
  </sheetViews>
  <sheetFormatPr defaultColWidth="0" defaultRowHeight="14.25" zeroHeight="1" x14ac:dyDescent="0.2"/>
  <cols>
    <col min="1" max="1" width="0.5703125" style="686" customWidth="1"/>
    <col min="2" max="2" width="5.85546875" style="686" customWidth="1"/>
    <col min="3" max="3" width="25.28515625" style="686" customWidth="1"/>
    <col min="4" max="4" width="8.42578125" style="686" customWidth="1"/>
    <col min="5" max="5" width="20" style="686" customWidth="1"/>
    <col min="6" max="6" width="22.28515625" style="686" bestFit="1" customWidth="1"/>
    <col min="7" max="7" width="13.42578125" style="686" customWidth="1"/>
    <col min="8" max="8" width="17.140625" style="686" customWidth="1"/>
    <col min="9" max="9" width="25.140625" style="686" customWidth="1"/>
    <col min="10" max="10" width="2.5703125" style="696" customWidth="1"/>
    <col min="11" max="11" width="2.28515625" style="686" customWidth="1"/>
    <col min="12" max="12" width="2.28515625" style="686" hidden="1" customWidth="1"/>
    <col min="13" max="16384" width="9.140625" style="686" hidden="1"/>
  </cols>
  <sheetData>
    <row r="1" spans="1:12" ht="38.25" customHeight="1" x14ac:dyDescent="0.2">
      <c r="A1" s="703"/>
      <c r="B1" s="685"/>
      <c r="C1" s="669"/>
      <c r="D1" s="669"/>
      <c r="E1" s="669"/>
      <c r="F1" s="669"/>
      <c r="G1" s="1016" t="s">
        <v>651</v>
      </c>
      <c r="H1" s="1016"/>
      <c r="I1" s="1016"/>
      <c r="J1" s="670"/>
      <c r="K1" s="639"/>
      <c r="L1" s="639"/>
    </row>
    <row r="2" spans="1:12" ht="9.75" customHeight="1" x14ac:dyDescent="0.2">
      <c r="B2" s="673"/>
      <c r="C2" s="649"/>
      <c r="D2" s="649"/>
      <c r="E2" s="649"/>
      <c r="F2" s="649"/>
      <c r="G2" s="650"/>
      <c r="H2" s="650"/>
      <c r="I2" s="650"/>
      <c r="J2" s="671"/>
      <c r="K2" s="639"/>
      <c r="L2" s="639"/>
    </row>
    <row r="3" spans="1:12" ht="25.5" x14ac:dyDescent="0.3">
      <c r="B3" s="672"/>
      <c r="C3" s="642" t="s">
        <v>325</v>
      </c>
      <c r="D3" s="643"/>
      <c r="E3" s="644"/>
      <c r="F3" s="645"/>
      <c r="G3" s="646"/>
      <c r="H3" s="646"/>
      <c r="I3" s="708"/>
      <c r="J3" s="671"/>
      <c r="K3" s="639"/>
      <c r="L3" s="639"/>
    </row>
    <row r="4" spans="1:12" ht="9.75" customHeight="1" x14ac:dyDescent="0.2">
      <c r="B4" s="673"/>
      <c r="C4" s="649"/>
      <c r="D4" s="649"/>
      <c r="E4" s="649"/>
      <c r="F4" s="649"/>
      <c r="G4" s="650"/>
      <c r="H4" s="650"/>
      <c r="I4" s="650"/>
      <c r="J4" s="671"/>
      <c r="K4" s="639"/>
      <c r="L4" s="639"/>
    </row>
    <row r="5" spans="1:12" ht="15" x14ac:dyDescent="0.2">
      <c r="B5" s="673"/>
      <c r="C5" s="647" t="s">
        <v>646</v>
      </c>
      <c r="D5" s="647"/>
      <c r="E5" s="644"/>
      <c r="F5" s="648"/>
      <c r="G5" s="646"/>
      <c r="H5" s="648"/>
      <c r="I5" s="648"/>
      <c r="J5" s="674"/>
      <c r="K5" s="640"/>
      <c r="L5" s="640"/>
    </row>
    <row r="6" spans="1:12" ht="15" x14ac:dyDescent="0.2">
      <c r="B6" s="673"/>
      <c r="C6" s="647" t="s">
        <v>648</v>
      </c>
      <c r="D6" s="647"/>
      <c r="E6" s="644"/>
      <c r="F6" s="648"/>
      <c r="G6" s="646"/>
      <c r="H6" s="648"/>
      <c r="I6" s="648"/>
      <c r="J6" s="674"/>
      <c r="K6" s="640"/>
      <c r="L6" s="640"/>
    </row>
    <row r="7" spans="1:12" ht="15" x14ac:dyDescent="0.2">
      <c r="B7" s="673"/>
      <c r="C7" s="647" t="s">
        <v>649</v>
      </c>
      <c r="D7" s="647"/>
      <c r="E7" s="644"/>
      <c r="F7" s="648"/>
      <c r="G7" s="646"/>
      <c r="H7" s="648"/>
      <c r="I7" s="648"/>
      <c r="J7" s="674"/>
      <c r="K7" s="640"/>
      <c r="L7" s="640"/>
    </row>
    <row r="8" spans="1:12" ht="9.75" customHeight="1" x14ac:dyDescent="0.2">
      <c r="B8" s="673"/>
      <c r="C8" s="649"/>
      <c r="D8" s="649"/>
      <c r="E8" s="649"/>
      <c r="F8" s="649"/>
      <c r="G8" s="650"/>
      <c r="H8" s="650"/>
      <c r="I8" s="650"/>
      <c r="J8" s="671"/>
      <c r="K8" s="639"/>
      <c r="L8" s="639"/>
    </row>
    <row r="9" spans="1:12" ht="25.5" x14ac:dyDescent="0.2">
      <c r="B9" s="675"/>
      <c r="C9" s="647" t="s">
        <v>650</v>
      </c>
      <c r="D9" s="647"/>
      <c r="E9" s="644"/>
      <c r="F9" s="648"/>
      <c r="G9" s="646"/>
      <c r="H9" s="648"/>
      <c r="I9" s="648"/>
      <c r="J9" s="674"/>
      <c r="K9" s="640"/>
      <c r="L9" s="640"/>
    </row>
    <row r="10" spans="1:12" x14ac:dyDescent="0.2">
      <c r="B10" s="676"/>
      <c r="C10" s="651" t="s">
        <v>652</v>
      </c>
      <c r="D10" s="651"/>
      <c r="E10" s="652"/>
      <c r="F10" s="653"/>
      <c r="G10" s="652"/>
      <c r="H10" s="653"/>
      <c r="I10" s="653"/>
      <c r="J10" s="677"/>
      <c r="K10" s="654"/>
      <c r="L10" s="654"/>
    </row>
    <row r="11" spans="1:12" ht="15" x14ac:dyDescent="0.2">
      <c r="B11" s="673"/>
      <c r="C11" s="647"/>
      <c r="D11" s="647"/>
      <c r="E11" s="644"/>
      <c r="F11" s="648"/>
      <c r="G11" s="646"/>
      <c r="H11" s="648"/>
      <c r="I11" s="648"/>
      <c r="J11" s="678"/>
      <c r="K11" s="641"/>
      <c r="L11" s="641"/>
    </row>
    <row r="12" spans="1:12" s="687" customFormat="1" ht="12.75" x14ac:dyDescent="0.2">
      <c r="B12" s="679" t="s">
        <v>653</v>
      </c>
      <c r="C12" s="1007" t="s">
        <v>654</v>
      </c>
      <c r="D12" s="1008"/>
      <c r="E12" s="1009"/>
      <c r="F12" s="1010" t="str">
        <f>IF(Sex="Male","Mr. "&amp;IF(E_Name=0,"",E_Name),"Ms. "&amp;IF(E_Name=0,"",E_Name))</f>
        <v xml:space="preserve">Ms.   </v>
      </c>
      <c r="G12" s="1011"/>
      <c r="H12" s="1012"/>
      <c r="I12" s="643"/>
      <c r="J12" s="680"/>
      <c r="K12" s="662"/>
      <c r="L12" s="662"/>
    </row>
    <row r="13" spans="1:12" s="687" customFormat="1" ht="9.75" customHeight="1" x14ac:dyDescent="0.2">
      <c r="B13" s="673"/>
      <c r="C13" s="663"/>
      <c r="D13" s="663"/>
      <c r="E13" s="663"/>
      <c r="F13" s="663"/>
      <c r="G13" s="664"/>
      <c r="H13" s="664"/>
      <c r="I13" s="664"/>
      <c r="J13" s="681"/>
      <c r="K13" s="662"/>
      <c r="L13" s="662"/>
    </row>
    <row r="14" spans="1:12" s="687" customFormat="1" ht="12.75" x14ac:dyDescent="0.2">
      <c r="B14" s="679" t="s">
        <v>655</v>
      </c>
      <c r="C14" s="1007" t="s">
        <v>656</v>
      </c>
      <c r="D14" s="1008"/>
      <c r="E14" s="1009"/>
      <c r="F14" s="999" t="str">
        <f>IF(DOB=0,"",DOB)</f>
        <v/>
      </c>
      <c r="G14" s="1000"/>
      <c r="H14" s="1001"/>
      <c r="I14" s="643"/>
      <c r="J14" s="680"/>
      <c r="K14" s="662"/>
      <c r="L14" s="662"/>
    </row>
    <row r="15" spans="1:12" s="687" customFormat="1" ht="9.75" customHeight="1" x14ac:dyDescent="0.2">
      <c r="B15" s="673"/>
      <c r="C15" s="663"/>
      <c r="D15" s="663"/>
      <c r="E15" s="663"/>
      <c r="F15" s="663"/>
      <c r="G15" s="664"/>
      <c r="H15" s="664"/>
      <c r="I15" s="664"/>
      <c r="J15" s="681"/>
      <c r="K15" s="662"/>
      <c r="L15" s="662"/>
    </row>
    <row r="16" spans="1:12" s="687" customFormat="1" ht="12.75" x14ac:dyDescent="0.2">
      <c r="B16" s="679" t="s">
        <v>657</v>
      </c>
      <c r="C16" s="1007" t="s">
        <v>658</v>
      </c>
      <c r="D16" s="1008"/>
      <c r="E16" s="1009"/>
      <c r="F16" s="1010" t="str">
        <f>"Mr." &amp;IF(PF!$E$8=0,"",PF!$E$8)</f>
        <v>Mr.xxx</v>
      </c>
      <c r="G16" s="1011"/>
      <c r="H16" s="1012"/>
      <c r="I16" s="643"/>
      <c r="J16" s="681"/>
      <c r="K16" s="662"/>
      <c r="L16" s="662"/>
    </row>
    <row r="17" spans="2:12" s="687" customFormat="1" ht="9.75" customHeight="1" x14ac:dyDescent="0.2">
      <c r="B17" s="673"/>
      <c r="C17" s="663"/>
      <c r="D17" s="663"/>
      <c r="E17" s="663"/>
      <c r="F17" s="663"/>
      <c r="G17" s="664"/>
      <c r="H17" s="664"/>
      <c r="I17" s="664"/>
      <c r="J17" s="681"/>
      <c r="K17" s="662"/>
      <c r="L17" s="662"/>
    </row>
    <row r="18" spans="2:12" s="687" customFormat="1" ht="12.75" x14ac:dyDescent="0.2">
      <c r="B18" s="679" t="s">
        <v>659</v>
      </c>
      <c r="C18" s="1007" t="s">
        <v>660</v>
      </c>
      <c r="D18" s="1008"/>
      <c r="E18" s="1009"/>
      <c r="F18" s="1013" t="s">
        <v>86</v>
      </c>
      <c r="G18" s="1014"/>
      <c r="H18" s="1015"/>
      <c r="I18" s="643"/>
      <c r="J18" s="680"/>
      <c r="K18" s="662"/>
      <c r="L18" s="662"/>
    </row>
    <row r="19" spans="2:12" s="687" customFormat="1" ht="9.75" customHeight="1" x14ac:dyDescent="0.2">
      <c r="B19" s="673"/>
      <c r="C19" s="663"/>
      <c r="D19" s="663"/>
      <c r="E19" s="663"/>
      <c r="F19" s="663"/>
      <c r="G19" s="664"/>
      <c r="H19" s="664"/>
      <c r="I19" s="664"/>
      <c r="J19" s="681"/>
      <c r="K19" s="662"/>
      <c r="L19" s="662"/>
    </row>
    <row r="20" spans="2:12" s="687" customFormat="1" ht="15.75" customHeight="1" x14ac:dyDescent="0.2">
      <c r="B20" s="679" t="s">
        <v>661</v>
      </c>
      <c r="C20" s="1007" t="s">
        <v>662</v>
      </c>
      <c r="D20" s="1008"/>
      <c r="E20" s="1009"/>
      <c r="F20" s="1010" t="str">
        <f>IF(Sex=0,"",Sex)</f>
        <v/>
      </c>
      <c r="G20" s="1011"/>
      <c r="H20" s="1012"/>
      <c r="I20" s="643"/>
      <c r="J20" s="680"/>
      <c r="K20" s="662"/>
      <c r="L20" s="662"/>
    </row>
    <row r="21" spans="2:12" s="687" customFormat="1" ht="9.75" customHeight="1" x14ac:dyDescent="0.2">
      <c r="B21" s="673"/>
      <c r="C21" s="663"/>
      <c r="D21" s="663"/>
      <c r="E21" s="663"/>
      <c r="F21" s="663"/>
      <c r="G21" s="664"/>
      <c r="H21" s="664"/>
      <c r="I21" s="664"/>
      <c r="J21" s="681"/>
      <c r="K21" s="662"/>
      <c r="L21" s="662"/>
    </row>
    <row r="22" spans="2:12" s="687" customFormat="1" ht="15.75" customHeight="1" x14ac:dyDescent="0.2">
      <c r="B22" s="679" t="s">
        <v>663</v>
      </c>
      <c r="C22" s="1007" t="s">
        <v>664</v>
      </c>
      <c r="D22" s="1008"/>
      <c r="E22" s="1009"/>
      <c r="F22" s="1010" t="str">
        <f>IF('Personal Information'!$D$50=0,"",'Personal Information'!$D$50)</f>
        <v/>
      </c>
      <c r="G22" s="1011"/>
      <c r="H22" s="1012"/>
      <c r="I22" s="643"/>
      <c r="J22" s="680"/>
      <c r="K22" s="662"/>
      <c r="L22" s="662"/>
    </row>
    <row r="23" spans="2:12" s="687" customFormat="1" ht="9.75" customHeight="1" x14ac:dyDescent="0.2">
      <c r="B23" s="673"/>
      <c r="C23" s="663"/>
      <c r="D23" s="663"/>
      <c r="E23" s="663"/>
      <c r="F23" s="663"/>
      <c r="G23" s="664"/>
      <c r="H23" s="664"/>
      <c r="I23" s="664"/>
      <c r="J23" s="681"/>
      <c r="K23" s="662"/>
      <c r="L23" s="662"/>
    </row>
    <row r="24" spans="2:12" s="687" customFormat="1" ht="15.75" customHeight="1" x14ac:dyDescent="0.2">
      <c r="B24" s="679" t="s">
        <v>666</v>
      </c>
      <c r="C24" s="1007" t="s">
        <v>665</v>
      </c>
      <c r="D24" s="1008"/>
      <c r="E24" s="1009"/>
      <c r="F24" s="1010" t="str">
        <f>IF('Personal Information'!$D$51=0,"",'Personal Information'!$D$51)</f>
        <v/>
      </c>
      <c r="G24" s="1011"/>
      <c r="H24" s="1012"/>
      <c r="I24" s="643"/>
      <c r="J24" s="680"/>
      <c r="K24" s="662"/>
      <c r="L24" s="662"/>
    </row>
    <row r="25" spans="2:12" s="687" customFormat="1" ht="9.75" customHeight="1" x14ac:dyDescent="0.2">
      <c r="B25" s="673"/>
      <c r="C25" s="663"/>
      <c r="D25" s="663"/>
      <c r="E25" s="663"/>
      <c r="F25" s="663"/>
      <c r="G25" s="664"/>
      <c r="H25" s="664"/>
      <c r="I25" s="664"/>
      <c r="J25" s="680"/>
      <c r="K25" s="662"/>
      <c r="L25" s="662"/>
    </row>
    <row r="26" spans="2:12" s="687" customFormat="1" ht="15.75" customHeight="1" x14ac:dyDescent="0.2">
      <c r="B26" s="679" t="s">
        <v>667</v>
      </c>
      <c r="C26" s="655" t="s">
        <v>668</v>
      </c>
      <c r="D26" s="656"/>
      <c r="E26" s="656"/>
      <c r="F26" s="656"/>
      <c r="G26" s="656"/>
      <c r="H26" s="657"/>
      <c r="I26" s="704"/>
      <c r="J26" s="680"/>
      <c r="K26" s="662"/>
      <c r="L26" s="662"/>
    </row>
    <row r="27" spans="2:12" s="687" customFormat="1" ht="9.75" customHeight="1" x14ac:dyDescent="0.2">
      <c r="B27" s="673"/>
      <c r="C27" s="663"/>
      <c r="D27" s="663"/>
      <c r="E27" s="663"/>
      <c r="F27" s="663"/>
      <c r="G27" s="664"/>
      <c r="H27" s="664"/>
      <c r="I27" s="664"/>
      <c r="J27" s="680"/>
      <c r="K27" s="662"/>
      <c r="L27" s="662"/>
    </row>
    <row r="28" spans="2:12" s="687" customFormat="1" ht="15.75" customHeight="1" x14ac:dyDescent="0.2">
      <c r="B28" s="679" t="s">
        <v>669</v>
      </c>
      <c r="C28" s="655" t="s">
        <v>670</v>
      </c>
      <c r="D28" s="656"/>
      <c r="E28" s="656"/>
      <c r="F28" s="656"/>
      <c r="G28" s="656"/>
      <c r="H28" s="657"/>
      <c r="I28" s="704"/>
      <c r="J28" s="680"/>
      <c r="K28" s="662"/>
      <c r="L28" s="662"/>
    </row>
    <row r="29" spans="2:12" s="687" customFormat="1" ht="12.75" x14ac:dyDescent="0.2">
      <c r="B29" s="673"/>
      <c r="C29" s="647"/>
      <c r="D29" s="647"/>
      <c r="E29" s="665"/>
      <c r="F29" s="643"/>
      <c r="G29" s="665"/>
      <c r="H29" s="643"/>
      <c r="I29" s="643"/>
      <c r="J29" s="680"/>
      <c r="K29" s="662"/>
    </row>
    <row r="30" spans="2:12" s="687" customFormat="1" ht="12.75" x14ac:dyDescent="0.2">
      <c r="B30" s="682" t="s">
        <v>671</v>
      </c>
      <c r="C30" s="647"/>
      <c r="D30" s="647"/>
      <c r="E30" s="665"/>
      <c r="F30" s="643"/>
      <c r="G30" s="665"/>
      <c r="H30" s="643"/>
      <c r="I30" s="643"/>
      <c r="J30" s="680"/>
      <c r="K30" s="662"/>
    </row>
    <row r="31" spans="2:12" s="687" customFormat="1" ht="12.75" x14ac:dyDescent="0.2">
      <c r="B31" s="673"/>
      <c r="C31" s="647"/>
      <c r="D31" s="647"/>
      <c r="E31" s="665"/>
      <c r="F31" s="643"/>
      <c r="G31" s="665"/>
      <c r="H31" s="643"/>
      <c r="I31" s="643"/>
      <c r="J31" s="689"/>
    </row>
    <row r="32" spans="2:12" s="687" customFormat="1" ht="12.75" x14ac:dyDescent="0.2">
      <c r="B32" s="683" t="s">
        <v>672</v>
      </c>
      <c r="C32" s="658"/>
      <c r="D32" s="658"/>
      <c r="E32" s="666"/>
      <c r="F32" s="666"/>
      <c r="G32" s="666"/>
      <c r="H32" s="666"/>
      <c r="I32" s="666"/>
      <c r="J32" s="690"/>
    </row>
    <row r="33" spans="2:12" s="687" customFormat="1" ht="12.75" x14ac:dyDescent="0.2">
      <c r="B33" s="673"/>
      <c r="C33" s="647"/>
      <c r="D33" s="647"/>
      <c r="E33" s="665"/>
      <c r="F33" s="643"/>
      <c r="G33" s="665"/>
      <c r="H33" s="643"/>
      <c r="I33" s="643"/>
      <c r="J33" s="689"/>
    </row>
    <row r="34" spans="2:12" s="687" customFormat="1" ht="15.75" customHeight="1" x14ac:dyDescent="0.2">
      <c r="B34" s="679" t="s">
        <v>673</v>
      </c>
      <c r="C34" s="655" t="s">
        <v>674</v>
      </c>
      <c r="D34" s="656"/>
      <c r="E34" s="656"/>
      <c r="F34" s="655"/>
      <c r="G34" s="656"/>
      <c r="H34" s="657"/>
      <c r="I34" s="643"/>
      <c r="J34" s="689"/>
    </row>
    <row r="35" spans="2:12" s="687" customFormat="1" ht="10.5" customHeight="1" x14ac:dyDescent="0.2">
      <c r="B35" s="673"/>
      <c r="C35" s="647"/>
      <c r="D35" s="647"/>
      <c r="E35" s="665"/>
      <c r="F35" s="643"/>
      <c r="G35" s="665"/>
      <c r="H35" s="643"/>
      <c r="I35" s="643"/>
      <c r="J35" s="689"/>
    </row>
    <row r="36" spans="2:12" s="687" customFormat="1" ht="15.75" customHeight="1" x14ac:dyDescent="0.2">
      <c r="B36" s="673"/>
      <c r="C36" s="659" t="s">
        <v>675</v>
      </c>
      <c r="D36" s="1002" t="str">
        <f>IF('Personal Information'!$D$117=0,"",'Personal Information'!$D$117)</f>
        <v/>
      </c>
      <c r="E36" s="1003"/>
      <c r="F36" s="1004"/>
      <c r="G36" s="1005" t="s">
        <v>647</v>
      </c>
      <c r="H36" s="643"/>
      <c r="I36" s="643"/>
      <c r="J36" s="689"/>
    </row>
    <row r="37" spans="2:12" s="687" customFormat="1" ht="9.75" customHeight="1" x14ac:dyDescent="0.2">
      <c r="B37" s="673"/>
      <c r="C37" s="663"/>
      <c r="D37" s="663"/>
      <c r="E37" s="663"/>
      <c r="F37" s="667"/>
      <c r="G37" s="1006"/>
      <c r="H37" s="664"/>
      <c r="I37" s="664"/>
      <c r="J37" s="680"/>
      <c r="K37" s="662"/>
      <c r="L37" s="662"/>
    </row>
    <row r="38" spans="2:12" s="687" customFormat="1" ht="12.75" x14ac:dyDescent="0.2">
      <c r="B38" s="673"/>
      <c r="C38" s="659" t="s">
        <v>676</v>
      </c>
      <c r="D38" s="1002" t="str">
        <f>IF('Personal Information'!$D$115=0,"",'Personal Information'!$D$115)</f>
        <v/>
      </c>
      <c r="E38" s="1003"/>
      <c r="F38" s="1004"/>
      <c r="G38" s="1005"/>
      <c r="H38" s="643"/>
      <c r="I38" s="643"/>
      <c r="J38" s="689"/>
    </row>
    <row r="39" spans="2:12" s="687" customFormat="1" ht="12.75" x14ac:dyDescent="0.2">
      <c r="B39" s="673"/>
      <c r="C39" s="647"/>
      <c r="D39" s="647"/>
      <c r="E39" s="665"/>
      <c r="F39" s="643"/>
      <c r="G39" s="665"/>
      <c r="H39" s="643"/>
      <c r="I39" s="643"/>
      <c r="J39" s="689"/>
    </row>
    <row r="40" spans="2:12" s="687" customFormat="1" ht="15.75" customHeight="1" x14ac:dyDescent="0.2">
      <c r="B40" s="679" t="s">
        <v>678</v>
      </c>
      <c r="C40" s="655" t="s">
        <v>677</v>
      </c>
      <c r="D40" s="656"/>
      <c r="E40" s="656"/>
      <c r="F40" s="999" t="str">
        <f>IF('Personal Information'!F96=0,"",'Personal Information'!F96)</f>
        <v/>
      </c>
      <c r="G40" s="1000"/>
      <c r="H40" s="1001"/>
      <c r="I40" s="643"/>
      <c r="J40" s="689"/>
    </row>
    <row r="41" spans="2:12" s="687" customFormat="1" ht="10.5" customHeight="1" x14ac:dyDescent="0.2">
      <c r="B41" s="673"/>
      <c r="C41" s="647"/>
      <c r="D41" s="647"/>
      <c r="E41" s="665"/>
      <c r="F41" s="643"/>
      <c r="G41" s="665"/>
      <c r="H41" s="643"/>
      <c r="I41" s="643"/>
      <c r="J41" s="689"/>
    </row>
    <row r="42" spans="2:12" s="687" customFormat="1" ht="15.75" customHeight="1" x14ac:dyDescent="0.2">
      <c r="B42" s="679" t="s">
        <v>679</v>
      </c>
      <c r="C42" s="660" t="s">
        <v>680</v>
      </c>
      <c r="D42" s="661"/>
      <c r="E42" s="661"/>
      <c r="F42" s="661"/>
      <c r="G42" s="661"/>
      <c r="H42" s="661"/>
      <c r="I42" s="705"/>
      <c r="J42" s="689"/>
    </row>
    <row r="43" spans="2:12" s="687" customFormat="1" ht="15.75" customHeight="1" x14ac:dyDescent="0.2">
      <c r="B43" s="679" t="s">
        <v>679</v>
      </c>
      <c r="C43" s="660" t="s">
        <v>681</v>
      </c>
      <c r="D43" s="661"/>
      <c r="E43" s="661"/>
      <c r="F43" s="661"/>
      <c r="G43" s="661"/>
      <c r="H43" s="661"/>
      <c r="I43" s="705"/>
      <c r="J43" s="689"/>
    </row>
    <row r="44" spans="2:12" s="687" customFormat="1" ht="10.5" customHeight="1" x14ac:dyDescent="0.2">
      <c r="B44" s="673"/>
      <c r="C44" s="647"/>
      <c r="D44" s="647"/>
      <c r="E44" s="665"/>
      <c r="F44" s="643"/>
      <c r="G44" s="665"/>
      <c r="H44" s="643"/>
      <c r="I44" s="643"/>
      <c r="J44" s="689"/>
    </row>
    <row r="45" spans="2:12" s="687" customFormat="1" ht="12.75" x14ac:dyDescent="0.2">
      <c r="B45" s="683" t="s">
        <v>682</v>
      </c>
      <c r="C45" s="658"/>
      <c r="D45" s="658"/>
      <c r="E45" s="666"/>
      <c r="F45" s="666"/>
      <c r="G45" s="666"/>
      <c r="H45" s="666"/>
      <c r="I45" s="666"/>
      <c r="J45" s="690"/>
    </row>
    <row r="46" spans="2:12" s="687" customFormat="1" ht="12.75" x14ac:dyDescent="0.2">
      <c r="B46" s="673"/>
      <c r="C46" s="647"/>
      <c r="D46" s="647"/>
      <c r="E46" s="665"/>
      <c r="F46" s="643"/>
      <c r="G46" s="665"/>
      <c r="H46" s="643"/>
      <c r="I46" s="643"/>
      <c r="J46" s="689"/>
    </row>
    <row r="47" spans="2:12" s="687" customFormat="1" ht="15.75" customHeight="1" x14ac:dyDescent="0.2">
      <c r="B47" s="679" t="s">
        <v>683</v>
      </c>
      <c r="C47" s="655" t="s">
        <v>684</v>
      </c>
      <c r="D47" s="656"/>
      <c r="E47" s="656"/>
      <c r="F47" s="688" t="str">
        <f>IF(TOE_PI="Expat","Yes","No")</f>
        <v>No</v>
      </c>
      <c r="G47" s="665"/>
      <c r="H47" s="643"/>
      <c r="I47" s="643"/>
      <c r="J47" s="689"/>
    </row>
    <row r="48" spans="2:12" s="687" customFormat="1" ht="10.5" customHeight="1" x14ac:dyDescent="0.2">
      <c r="B48" s="673"/>
      <c r="C48" s="647"/>
      <c r="D48" s="647"/>
      <c r="E48" s="665"/>
      <c r="F48" s="643"/>
      <c r="G48" s="665"/>
      <c r="H48" s="643"/>
      <c r="I48" s="643"/>
      <c r="J48" s="689"/>
    </row>
    <row r="49" spans="2:10" s="687" customFormat="1" ht="12.75" x14ac:dyDescent="0.2">
      <c r="B49" s="692" t="s">
        <v>685</v>
      </c>
      <c r="C49" s="693"/>
      <c r="D49" s="694"/>
      <c r="E49" s="694"/>
      <c r="F49" s="694"/>
      <c r="G49" s="665"/>
      <c r="H49" s="643"/>
      <c r="I49" s="694"/>
      <c r="J49" s="695"/>
    </row>
    <row r="50" spans="2:10" s="687" customFormat="1" ht="10.5" customHeight="1" x14ac:dyDescent="0.2">
      <c r="B50" s="684"/>
      <c r="C50" s="647"/>
      <c r="D50" s="647"/>
      <c r="E50" s="665"/>
      <c r="F50" s="643"/>
      <c r="G50" s="665"/>
      <c r="H50" s="643"/>
      <c r="I50" s="643"/>
      <c r="J50" s="689"/>
    </row>
    <row r="51" spans="2:10" s="687" customFormat="1" ht="15.75" customHeight="1" x14ac:dyDescent="0.2">
      <c r="B51" s="679" t="s">
        <v>683</v>
      </c>
      <c r="C51" s="660" t="s">
        <v>686</v>
      </c>
      <c r="D51" s="661"/>
      <c r="E51" s="661"/>
      <c r="F51" s="661"/>
      <c r="G51" s="661"/>
      <c r="H51" s="661"/>
      <c r="I51" s="691" t="str">
        <f>IF(F47="Yes",IF('Personal Information'!$D$28=0,"",'Personal Information'!$D$28),"")</f>
        <v/>
      </c>
      <c r="J51" s="689"/>
    </row>
    <row r="52" spans="2:10" s="687" customFormat="1" ht="15.75" customHeight="1" x14ac:dyDescent="0.2">
      <c r="B52" s="679" t="s">
        <v>683</v>
      </c>
      <c r="C52" s="660" t="s">
        <v>687</v>
      </c>
      <c r="D52" s="661"/>
      <c r="E52" s="661"/>
      <c r="F52" s="661"/>
      <c r="G52" s="661"/>
      <c r="H52" s="661"/>
      <c r="I52" s="691" t="str">
        <f>IF(F47="Yes",IF('Personal Information'!$D$55=0,"",'Personal Information'!$D$55),"")</f>
        <v/>
      </c>
      <c r="J52" s="689"/>
    </row>
    <row r="53" spans="2:10" s="687" customFormat="1" ht="15.75" customHeight="1" x14ac:dyDescent="0.2">
      <c r="B53" s="679" t="s">
        <v>683</v>
      </c>
      <c r="C53" s="660" t="s">
        <v>688</v>
      </c>
      <c r="D53" s="661"/>
      <c r="E53" s="999" t="str">
        <f>IF(F47="Yes",IF('Personal Information'!$D$56=0,"",'Personal Information'!$D$56),"")</f>
        <v/>
      </c>
      <c r="F53" s="1000"/>
      <c r="G53" s="1001"/>
      <c r="H53" s="696"/>
      <c r="I53" s="697"/>
      <c r="J53" s="689"/>
    </row>
    <row r="54" spans="2:10" x14ac:dyDescent="0.2">
      <c r="B54" s="679"/>
      <c r="C54" s="660" t="s">
        <v>689</v>
      </c>
      <c r="D54" s="661"/>
      <c r="E54" s="999" t="str">
        <f>IF(F47="Yes",IF('Personal Information'!$D$57=0,"",'Personal Information'!$D$57),"")</f>
        <v/>
      </c>
      <c r="F54" s="1000"/>
      <c r="G54" s="1001"/>
      <c r="H54" s="696"/>
      <c r="I54" s="696"/>
      <c r="J54" s="698"/>
    </row>
    <row r="55" spans="2:10" x14ac:dyDescent="0.2">
      <c r="B55" s="699"/>
      <c r="C55" s="696"/>
      <c r="D55" s="696"/>
      <c r="E55" s="696"/>
      <c r="F55" s="696"/>
      <c r="G55" s="696"/>
      <c r="H55" s="696"/>
      <c r="I55" s="696"/>
      <c r="J55" s="698"/>
    </row>
    <row r="56" spans="2:10" s="687" customFormat="1" ht="15.75" customHeight="1" x14ac:dyDescent="0.2">
      <c r="B56" s="679" t="s">
        <v>690</v>
      </c>
      <c r="C56" s="655" t="s">
        <v>691</v>
      </c>
      <c r="D56" s="656"/>
      <c r="E56" s="656"/>
      <c r="F56" s="704"/>
      <c r="G56" s="665"/>
      <c r="H56" s="643"/>
      <c r="I56" s="643"/>
      <c r="J56" s="689"/>
    </row>
    <row r="57" spans="2:10" x14ac:dyDescent="0.2">
      <c r="B57" s="699"/>
      <c r="C57" s="696"/>
      <c r="D57" s="696"/>
      <c r="E57" s="696"/>
      <c r="F57" s="696"/>
      <c r="G57" s="696"/>
      <c r="H57" s="696"/>
      <c r="I57" s="696"/>
      <c r="J57" s="698"/>
    </row>
    <row r="58" spans="2:10" s="687" customFormat="1" ht="15.75" customHeight="1" x14ac:dyDescent="0.2">
      <c r="B58" s="679" t="s">
        <v>692</v>
      </c>
      <c r="C58" s="655" t="s">
        <v>693</v>
      </c>
      <c r="D58" s="656"/>
      <c r="E58" s="656"/>
      <c r="F58" s="706" t="str">
        <f>IF(M_Status=0,"",M_Status)</f>
        <v/>
      </c>
      <c r="G58" s="696"/>
      <c r="H58" s="696"/>
      <c r="I58" s="696"/>
      <c r="J58" s="689"/>
    </row>
    <row r="59" spans="2:10" x14ac:dyDescent="0.2">
      <c r="B59" s="699"/>
      <c r="C59" s="696"/>
      <c r="D59" s="696"/>
      <c r="E59" s="696"/>
      <c r="F59" s="696"/>
      <c r="G59" s="696"/>
      <c r="H59" s="696"/>
      <c r="I59" s="696"/>
      <c r="J59" s="698"/>
    </row>
    <row r="60" spans="2:10" s="687" customFormat="1" ht="15.75" customHeight="1" x14ac:dyDescent="0.2">
      <c r="B60" s="679" t="s">
        <v>694</v>
      </c>
      <c r="C60" s="655" t="s">
        <v>695</v>
      </c>
      <c r="D60" s="656"/>
      <c r="E60" s="656"/>
      <c r="F60" s="706" t="str">
        <f>IF('Personal Information'!D33=0,"",'Personal Information'!D33)</f>
        <v/>
      </c>
      <c r="G60" s="696"/>
      <c r="H60" s="696"/>
      <c r="I60" s="696"/>
      <c r="J60" s="689"/>
    </row>
    <row r="61" spans="2:10" s="687" customFormat="1" ht="15.75" customHeight="1" x14ac:dyDescent="0.2">
      <c r="B61" s="679"/>
      <c r="C61" s="668" t="s">
        <v>696</v>
      </c>
      <c r="D61" s="656"/>
      <c r="E61" s="656"/>
      <c r="F61" s="707" t="str">
        <f>IF('Personal Information'!$D$34=0,"",'Personal Information'!$D$34)</f>
        <v/>
      </c>
      <c r="G61" s="696"/>
      <c r="H61" s="696"/>
      <c r="I61" s="696"/>
      <c r="J61" s="689"/>
    </row>
    <row r="62" spans="2:10" ht="15" thickBot="1" x14ac:dyDescent="0.25">
      <c r="B62" s="700"/>
      <c r="C62" s="701"/>
      <c r="D62" s="701"/>
      <c r="E62" s="701"/>
      <c r="F62" s="701"/>
      <c r="G62" s="701"/>
      <c r="H62" s="701"/>
      <c r="I62" s="701"/>
      <c r="J62" s="702"/>
    </row>
    <row r="63" spans="2:10" x14ac:dyDescent="0.2"/>
  </sheetData>
  <sheetProtection selectLockedCells="1"/>
  <mergeCells count="21">
    <mergeCell ref="G1:I1"/>
    <mergeCell ref="C12:E12"/>
    <mergeCell ref="F12:H12"/>
    <mergeCell ref="C14:E14"/>
    <mergeCell ref="F14:H14"/>
    <mergeCell ref="C22:E22"/>
    <mergeCell ref="C24:E24"/>
    <mergeCell ref="F24:H24"/>
    <mergeCell ref="C16:E16"/>
    <mergeCell ref="F16:H16"/>
    <mergeCell ref="C18:E18"/>
    <mergeCell ref="F18:H18"/>
    <mergeCell ref="C20:E20"/>
    <mergeCell ref="F20:H20"/>
    <mergeCell ref="F22:H22"/>
    <mergeCell ref="E53:G53"/>
    <mergeCell ref="E54:G54"/>
    <mergeCell ref="D36:F36"/>
    <mergeCell ref="D38:F38"/>
    <mergeCell ref="G36:G38"/>
    <mergeCell ref="F40:H40"/>
  </mergeCells>
  <conditionalFormatting sqref="F12 F14 F16 F20 F22 F24">
    <cfRule type="cellIs" dxfId="17" priority="26" stopIfTrue="1" operator="equal">
      <formula>0</formula>
    </cfRule>
  </conditionalFormatting>
  <conditionalFormatting sqref="I26">
    <cfRule type="cellIs" dxfId="16" priority="20" stopIfTrue="1" operator="equal">
      <formula>0</formula>
    </cfRule>
  </conditionalFormatting>
  <conditionalFormatting sqref="I28">
    <cfRule type="cellIs" dxfId="15" priority="19" stopIfTrue="1" operator="equal">
      <formula>0</formula>
    </cfRule>
  </conditionalFormatting>
  <conditionalFormatting sqref="I51:I52">
    <cfRule type="cellIs" dxfId="14" priority="9" stopIfTrue="1" operator="equal">
      <formula>0</formula>
    </cfRule>
  </conditionalFormatting>
  <conditionalFormatting sqref="F40">
    <cfRule type="cellIs" dxfId="13" priority="16" stopIfTrue="1" operator="equal">
      <formula>0</formula>
    </cfRule>
  </conditionalFormatting>
  <conditionalFormatting sqref="F40">
    <cfRule type="cellIs" dxfId="12" priority="15" stopIfTrue="1" operator="equal">
      <formula>0</formula>
    </cfRule>
  </conditionalFormatting>
  <conditionalFormatting sqref="I51:I52">
    <cfRule type="cellIs" dxfId="11" priority="8" stopIfTrue="1" operator="equal">
      <formula>0</formula>
    </cfRule>
  </conditionalFormatting>
  <conditionalFormatting sqref="I42">
    <cfRule type="cellIs" dxfId="10" priority="14" stopIfTrue="1" operator="equal">
      <formula>0</formula>
    </cfRule>
  </conditionalFormatting>
  <conditionalFormatting sqref="I42">
    <cfRule type="cellIs" dxfId="9" priority="13" stopIfTrue="1" operator="equal">
      <formula>0</formula>
    </cfRule>
  </conditionalFormatting>
  <conditionalFormatting sqref="I43">
    <cfRule type="cellIs" dxfId="8" priority="12" stopIfTrue="1" operator="equal">
      <formula>0</formula>
    </cfRule>
  </conditionalFormatting>
  <conditionalFormatting sqref="I43">
    <cfRule type="cellIs" dxfId="7" priority="11" stopIfTrue="1" operator="equal">
      <formula>0</formula>
    </cfRule>
  </conditionalFormatting>
  <conditionalFormatting sqref="F47">
    <cfRule type="cellIs" dxfId="6" priority="10" stopIfTrue="1" operator="equal">
      <formula>0</formula>
    </cfRule>
  </conditionalFormatting>
  <conditionalFormatting sqref="E53">
    <cfRule type="cellIs" dxfId="5" priority="7" stopIfTrue="1" operator="equal">
      <formula>0</formula>
    </cfRule>
  </conditionalFormatting>
  <conditionalFormatting sqref="E53">
    <cfRule type="cellIs" dxfId="4" priority="6" stopIfTrue="1" operator="equal">
      <formula>0</formula>
    </cfRule>
  </conditionalFormatting>
  <conditionalFormatting sqref="E54">
    <cfRule type="cellIs" dxfId="3" priority="5" stopIfTrue="1" operator="equal">
      <formula>0</formula>
    </cfRule>
  </conditionalFormatting>
  <conditionalFormatting sqref="E54">
    <cfRule type="cellIs" dxfId="2" priority="4" stopIfTrue="1" operator="equal">
      <formula>0</formula>
    </cfRule>
  </conditionalFormatting>
  <conditionalFormatting sqref="F56">
    <cfRule type="cellIs" dxfId="1" priority="3" stopIfTrue="1" operator="equal">
      <formula>0</formula>
    </cfRule>
  </conditionalFormatting>
  <conditionalFormatting sqref="F61 F18">
    <cfRule type="cellIs" dxfId="0" priority="1" stopIfTrue="1" operator="equal">
      <formula>0</formula>
    </cfRule>
  </conditionalFormatting>
  <dataValidations count="3">
    <dataValidation type="list" allowBlank="1" showInputMessage="1" showErrorMessage="1" sqref="I26 I28" xr:uid="{00000000-0002-0000-0F00-000000000000}">
      <formula1>"Yes,No"</formula1>
    </dataValidation>
    <dataValidation type="list" allowBlank="1" showInputMessage="1" showErrorMessage="1" sqref="F56" xr:uid="{00000000-0002-0000-0F00-000001000000}">
      <formula1>"ILLITERATE,NON-MATRIC,MATRIC,SENIOR SECONDARY,GRADUATE,POST GRADUATE,TECHNICAL/ PROFESSIONAL"</formula1>
    </dataValidation>
    <dataValidation type="list" allowBlank="1" showInputMessage="1" showErrorMessage="1" sqref="F18:H18" xr:uid="{00000000-0002-0000-0F00-000002000000}">
      <formula1>"Father,Husband"</formula1>
    </dataValidation>
  </dataValidations>
  <pageMargins left="0.7" right="0.7" top="0.75" bottom="0.75" header="0.3" footer="0.3"/>
  <pageSetup scale="65" orientation="portrait" r:id="rId1"/>
  <headerFooter>
    <oddHeader xml:space="preserve">&amp;L -   </oddHeader>
    <oddFooter>&amp;CPage &amp;P -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67</vt:i4>
      </vt:variant>
    </vt:vector>
  </HeadingPairs>
  <TitlesOfParts>
    <vt:vector size="68" baseType="lpstr">
      <vt:lpstr>START</vt:lpstr>
      <vt:lpstr>Address</vt:lpstr>
      <vt:lpstr>Adh_no</vt:lpstr>
      <vt:lpstr>Bangalore</vt:lpstr>
      <vt:lpstr>Blood_Group</vt:lpstr>
      <vt:lpstr>Chennai</vt:lpstr>
      <vt:lpstr>Children_Check</vt:lpstr>
      <vt:lpstr>Cur_Add</vt:lpstr>
      <vt:lpstr>DOB</vt:lpstr>
      <vt:lpstr>DOE</vt:lpstr>
      <vt:lpstr>DOI</vt:lpstr>
      <vt:lpstr>DOJ</vt:lpstr>
      <vt:lpstr>DOJ_In</vt:lpstr>
      <vt:lpstr>Domcile</vt:lpstr>
      <vt:lpstr>E_Name</vt:lpstr>
      <vt:lpstr>Email_I</vt:lpstr>
      <vt:lpstr>Empl_No</vt:lpstr>
      <vt:lpstr>EPF</vt:lpstr>
      <vt:lpstr>F_Name</vt:lpstr>
      <vt:lpstr>Four_Wheeler</vt:lpstr>
      <vt:lpstr>Gender</vt:lpstr>
      <vt:lpstr>Insurance_D</vt:lpstr>
      <vt:lpstr>L_Name</vt:lpstr>
      <vt:lpstr>Level</vt:lpstr>
      <vt:lpstr>Loc_Det</vt:lpstr>
      <vt:lpstr>Location</vt:lpstr>
      <vt:lpstr>LWD</vt:lpstr>
      <vt:lpstr>M_Name</vt:lpstr>
      <vt:lpstr>M_Status</vt:lpstr>
      <vt:lpstr>Martial_Status</vt:lpstr>
      <vt:lpstr>Misc_Details</vt:lpstr>
      <vt:lpstr>Mobile_N</vt:lpstr>
      <vt:lpstr>N_D</vt:lpstr>
      <vt:lpstr>N_IN_Law</vt:lpstr>
      <vt:lpstr>N_InLaw</vt:lpstr>
      <vt:lpstr>N_S</vt:lpstr>
      <vt:lpstr>P_F_Name</vt:lpstr>
      <vt:lpstr>P_L_Name</vt:lpstr>
      <vt:lpstr>Pan_no</vt:lpstr>
      <vt:lpstr>Pass_No</vt:lpstr>
      <vt:lpstr>Pension</vt:lpstr>
      <vt:lpstr>PER_ADD</vt:lpstr>
      <vt:lpstr>PF_N</vt:lpstr>
      <vt:lpstr>'Form-1 (PW)'!Print_Area</vt:lpstr>
      <vt:lpstr>'Form-Q'!Print_Area</vt:lpstr>
      <vt:lpstr>Gratuity!Print_Area</vt:lpstr>
      <vt:lpstr>Instructions!Print_Area</vt:lpstr>
      <vt:lpstr>Insurance!Print_Area</vt:lpstr>
      <vt:lpstr>'Personal Information'!Print_Area</vt:lpstr>
      <vt:lpstr>PF!Print_Area</vt:lpstr>
      <vt:lpstr>'PF - Declaration Form'!Print_Area</vt:lpstr>
      <vt:lpstr>'Personal Information'!Print_Titles</vt:lpstr>
      <vt:lpstr>Qualification</vt:lpstr>
      <vt:lpstr>Recruit_Details</vt:lpstr>
      <vt:lpstr>Relationship</vt:lpstr>
      <vt:lpstr>Sex</vt:lpstr>
      <vt:lpstr>Stat_Details</vt:lpstr>
      <vt:lpstr>JF!T_OPT</vt:lpstr>
      <vt:lpstr>T_OPT</vt:lpstr>
      <vt:lpstr>TOE</vt:lpstr>
      <vt:lpstr>TOE_PI</vt:lpstr>
      <vt:lpstr>Two_Wheeler</vt:lpstr>
      <vt:lpstr>UAN_N</vt:lpstr>
      <vt:lpstr>Validate_Admin</vt:lpstr>
      <vt:lpstr>Validate_Gratuity</vt:lpstr>
      <vt:lpstr>Validate_Insurance</vt:lpstr>
      <vt:lpstr>Validate_PF</vt:lpstr>
      <vt:lpstr>Validate_PI</vt:lpstr>
    </vt:vector>
  </TitlesOfParts>
  <Company>SOCIETE GENERALE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Nagaraj TAMILMANI (blritn)</dc:creator>
  <cp:lastModifiedBy>GADIRAJU Sai Kumar GsciCenHrc</cp:lastModifiedBy>
  <cp:lastPrinted>2019-07-02T11:27:46Z</cp:lastPrinted>
  <dcterms:created xsi:type="dcterms:W3CDTF">2014-10-29T16:52:58Z</dcterms:created>
  <dcterms:modified xsi:type="dcterms:W3CDTF">2022-09-15T10:24:01Z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aa69c8-0478-4e13-9e4c-38511e3b6774_Enabled">
    <vt:lpwstr>True</vt:lpwstr>
  </property>
  <property fmtid="{D5CDD505-2E9C-101B-9397-08002B2CF9AE}" pid="3" name="MSIP_Label_1aaa69c8-0478-4e13-9e4c-38511e3b6774_SiteId">
    <vt:lpwstr>c9a7d621-4bc4-4407-b730-f428e656aa9e</vt:lpwstr>
  </property>
  <property fmtid="{D5CDD505-2E9C-101B-9397-08002B2CF9AE}" pid="4" name="MSIP_Label_1aaa69c8-0478-4e13-9e4c-38511e3b6774_Owner">
    <vt:lpwstr>satheeshkumar.sj@socgen.com</vt:lpwstr>
  </property>
  <property fmtid="{D5CDD505-2E9C-101B-9397-08002B2CF9AE}" pid="5" name="MSIP_Label_1aaa69c8-0478-4e13-9e4c-38511e3b6774_SetDate">
    <vt:lpwstr>2019-12-23T05:06:05.6943678Z</vt:lpwstr>
  </property>
  <property fmtid="{D5CDD505-2E9C-101B-9397-08002B2CF9AE}" pid="6" name="MSIP_Label_1aaa69c8-0478-4e13-9e4c-38511e3b6774_Name">
    <vt:lpwstr>C0 - Public</vt:lpwstr>
  </property>
  <property fmtid="{D5CDD505-2E9C-101B-9397-08002B2CF9AE}" pid="7" name="MSIP_Label_1aaa69c8-0478-4e13-9e4c-38511e3b6774_Application">
    <vt:lpwstr>Microsoft Azure Information Protection</vt:lpwstr>
  </property>
  <property fmtid="{D5CDD505-2E9C-101B-9397-08002B2CF9AE}" pid="8" name="MSIP_Label_1aaa69c8-0478-4e13-9e4c-38511e3b6774_ActionId">
    <vt:lpwstr>df8c2eb7-31d6-472d-9dea-de0fe5d9984f</vt:lpwstr>
  </property>
  <property fmtid="{D5CDD505-2E9C-101B-9397-08002B2CF9AE}" pid="9" name="MSIP_Label_1aaa69c8-0478-4e13-9e4c-38511e3b6774_Extended_MSFT_Method">
    <vt:lpwstr>Manual</vt:lpwstr>
  </property>
  <property fmtid="{D5CDD505-2E9C-101B-9397-08002B2CF9AE}" pid="10" name="Sensitivity">
    <vt:lpwstr>C0 - Public</vt:lpwstr>
  </property>
</Properties>
</file>